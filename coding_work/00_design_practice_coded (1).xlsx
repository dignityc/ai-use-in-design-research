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https://universityofexeteruk-my.sharepoint.com/personal/b_l_lee_exeter_ac_uk/Documents/2024_EXETER/Researching/2026_JPIM/AI-led/"/>
    </mc:Choice>
  </mc:AlternateContent>
  <xr:revisionPtr revIDLastSave="1200" documentId="11_1DE764500D52AA48D1823BAF525DDF8AF6CC9AC3" xr6:coauthVersionLast="47" xr6:coauthVersionMax="47" xr10:uidLastSave="{AD9EFAA3-C76B-4543-AB9C-7C22D0113767}"/>
  <bookViews>
    <workbookView xWindow="20220" yWindow="4680" windowWidth="26460" windowHeight="18360" xr2:uid="{00000000-000D-0000-FFFF-FFFF00000000}"/>
  </bookViews>
  <sheets>
    <sheet name="ALL" sheetId="3" r:id="rId1"/>
    <sheet name="Design Practice" sheetId="1" r:id="rId2"/>
    <sheet name="DP_Structure &amp; Legend" sheetId="2" r:id="rId3"/>
    <sheet name="Sheet1" sheetId="7" r:id="rId4"/>
    <sheet name="Thematic analysis" sheetId="4" r:id="rId5"/>
    <sheet name="TA_Legend" sheetId="5" r:id="rId6"/>
    <sheet name="AI Tools" sheetId="6" r:id="rId7"/>
  </sheets>
  <externalReferences>
    <externalReference r:id="rId8"/>
  </externalReferences>
  <definedNames>
    <definedName name="_xlnm._FilterDatabase" localSheetId="1" hidden="1">'Design Practice'!$A$1:$D$260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B25" i="2" l="1"/>
  <c r="DC25" i="2"/>
  <c r="DD25" i="2"/>
  <c r="DE25" i="2"/>
  <c r="DF25" i="2"/>
  <c r="DG25" i="2"/>
  <c r="DD20" i="2"/>
  <c r="DD21" i="2"/>
  <c r="DD22" i="2"/>
  <c r="DD23" i="2"/>
  <c r="DD24" i="2"/>
  <c r="DD19" i="2"/>
  <c r="DG20" i="2"/>
  <c r="DG21" i="2"/>
  <c r="DG22" i="2"/>
  <c r="DG23" i="2"/>
  <c r="DG24" i="2"/>
  <c r="DF20" i="2"/>
  <c r="DF21" i="2"/>
  <c r="DF22" i="2"/>
  <c r="DF23" i="2"/>
  <c r="DF24" i="2"/>
  <c r="DE20" i="2"/>
  <c r="DE21" i="2"/>
  <c r="DE22" i="2"/>
  <c r="DE23" i="2"/>
  <c r="DE24" i="2"/>
  <c r="DC20" i="2"/>
  <c r="DC21" i="2"/>
  <c r="DC22" i="2"/>
  <c r="DC23" i="2"/>
  <c r="DC24" i="2"/>
  <c r="DB20" i="2"/>
  <c r="DB21" i="2"/>
  <c r="DB22" i="2"/>
  <c r="DB23" i="2"/>
  <c r="DB24" i="2"/>
  <c r="DG19" i="2"/>
  <c r="DF19" i="2"/>
  <c r="DE19" i="2"/>
  <c r="DC19" i="2"/>
  <c r="DB19" i="2"/>
  <c r="AC25" i="2"/>
  <c r="AD25" i="2"/>
  <c r="AE25" i="2"/>
  <c r="AF25" i="2"/>
  <c r="AG25" i="2"/>
  <c r="AH25" i="2"/>
  <c r="AI25" i="2"/>
  <c r="AJ25" i="2"/>
  <c r="AK25" i="2"/>
  <c r="AL25" i="2"/>
  <c r="AM25" i="2"/>
  <c r="AN25" i="2"/>
  <c r="AO25" i="2"/>
  <c r="AP25" i="2"/>
  <c r="AQ25" i="2"/>
  <c r="AR25" i="2"/>
  <c r="AS25" i="2"/>
  <c r="AT25" i="2"/>
  <c r="AU25" i="2"/>
  <c r="AV25" i="2"/>
  <c r="AW25" i="2"/>
  <c r="AX25" i="2"/>
  <c r="AY25" i="2"/>
  <c r="AZ25" i="2"/>
  <c r="BA25" i="2"/>
  <c r="BB25" i="2"/>
  <c r="BC25" i="2"/>
  <c r="BD25" i="2"/>
  <c r="BE25" i="2"/>
  <c r="BF25" i="2"/>
  <c r="BG25" i="2"/>
  <c r="BH25" i="2"/>
  <c r="BI25" i="2"/>
  <c r="BJ25" i="2"/>
  <c r="BK25" i="2"/>
  <c r="BL25" i="2"/>
  <c r="BM25" i="2"/>
  <c r="BN25" i="2"/>
  <c r="BO25" i="2"/>
  <c r="BP25" i="2"/>
  <c r="BQ25" i="2"/>
  <c r="BR25" i="2"/>
  <c r="BS25" i="2"/>
  <c r="BT25" i="2"/>
  <c r="BU25" i="2"/>
  <c r="BV25" i="2"/>
  <c r="BW25" i="2"/>
  <c r="BX25" i="2"/>
  <c r="BY25" i="2"/>
  <c r="BZ25" i="2"/>
  <c r="CA25" i="2"/>
  <c r="CB25" i="2"/>
  <c r="CC25" i="2"/>
  <c r="CD25" i="2"/>
  <c r="CE25" i="2"/>
  <c r="CF25" i="2"/>
  <c r="CG25" i="2"/>
  <c r="CH25" i="2"/>
  <c r="CI25" i="2"/>
  <c r="CJ25" i="2"/>
  <c r="CK25" i="2"/>
  <c r="CL25" i="2"/>
  <c r="CM25" i="2"/>
  <c r="CN25" i="2"/>
  <c r="CO25" i="2"/>
  <c r="CP25" i="2"/>
  <c r="CQ25" i="2"/>
  <c r="CR25" i="2"/>
  <c r="CS25" i="2"/>
  <c r="CT25" i="2"/>
  <c r="CU25" i="2"/>
  <c r="CV25" i="2"/>
  <c r="CW25" i="2"/>
  <c r="CX25" i="2"/>
  <c r="CY25" i="2"/>
  <c r="CZ25" i="2"/>
  <c r="DA25" i="2"/>
  <c r="AB25" i="2"/>
  <c r="X20" i="2"/>
  <c r="X21" i="2"/>
  <c r="X22" i="2"/>
  <c r="X23" i="2"/>
  <c r="X24" i="2"/>
  <c r="X25" i="2"/>
  <c r="X26" i="2"/>
  <c r="X27" i="2"/>
  <c r="X28" i="2"/>
  <c r="X29" i="2"/>
  <c r="X30" i="2"/>
  <c r="X19" i="2"/>
  <c r="I31" i="2"/>
  <c r="J31" i="2"/>
  <c r="K31" i="2"/>
  <c r="L31" i="2"/>
  <c r="M31" i="2"/>
  <c r="N31" i="2"/>
  <c r="O31" i="2"/>
  <c r="P31" i="2"/>
  <c r="Q31" i="2"/>
  <c r="R31" i="2"/>
  <c r="S31" i="2"/>
  <c r="T31" i="2"/>
  <c r="U31" i="2"/>
  <c r="V31" i="2"/>
  <c r="W31" i="2"/>
  <c r="G31" i="2"/>
  <c r="H31" i="2"/>
  <c r="F31" i="2"/>
  <c r="W32" i="2"/>
  <c r="T32" i="2"/>
  <c r="R32" i="2"/>
  <c r="O32" i="2"/>
  <c r="L32" i="2"/>
  <c r="H32" i="2"/>
  <c r="Y2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tc={4292A2B9-D866-C44C-BB80-12F9F73E8017}</author>
    <author>tc={9A4E7BAB-1251-1D42-972F-20640C1D99E3}</author>
    <author>tc={350617E8-CB7E-854B-A3FA-99FB5F0308E9}</author>
    <author>tc={CC4A3105-23AA-AE40-8D30-88A6D0962C7B}</author>
    <author>tc={E5478F2A-0D3B-DA47-9D0A-326EE48FF199}</author>
    <author>tc={1501B1DA-D7DE-F340-B5C1-968CA396B5C3}</author>
    <author>tc={C775E225-F1F9-2044-B789-C31A095275C7}</author>
    <author>tc={C98A3CD4-583F-8540-9BB9-832A5B1195C6}</author>
    <author>tc={1FFD9E0C-0103-E646-9AF9-233E057DB18F}</author>
    <author>tc={5B508995-FD0B-5146-9400-61794093F718}</author>
    <author>tc={2BD763B9-E84E-9A46-BFEE-9B77D7194960}</author>
    <author>tc={3CE21AE5-B5AF-5F46-A54A-2B48057DCEB6}</author>
    <author>tc={57E68D90-5BAC-C542-A326-B0D6271448C5}</author>
    <author>tc={78CCFDE0-5AC2-6E4A-B38B-8B8B5F6F45F4}</author>
    <author>tc={B598339A-5F41-C14E-A156-B31E29F65702}</author>
    <author>tc={815126D0-7E6A-1649-9898-4FFC8D1CD08C}</author>
    <author>tc={8C8705D4-83D2-7B4F-A635-D8580169063A}</author>
    <author>tc={E3CA5766-2A96-A947-8A56-F64BA419F1D5}</author>
    <author>tc={ECB10843-5463-4143-8B5D-760C20C3F37C}</author>
    <author>tc={0AE9CD13-8F0F-6B46-9444-AED029E2D9DB}</author>
    <author>tc={294463F5-F8CD-3843-949C-C07C90042C49}</author>
    <author>tc={50D1663C-1603-B543-B165-0D1ED6DB5BF8}</author>
    <author>tc={BC548E00-6E59-234C-AE33-C0746548E7B2}</author>
    <author>tc={FF9CEBE5-D4D3-B14A-BA25-25785884C3DA}</author>
    <author>tc={3ED2EFC7-0855-644C-BDC7-C4A3563CD0D8}</author>
    <author>tc={12778E33-1059-1146-8F88-D6E53B404B68}</author>
    <author>tc={F04ACF84-81D0-554A-8E30-6BAF32493FA0}</author>
    <author>tc={628318AE-1D14-F54A-8020-B03EC4D745E6}</author>
    <author>tc={968E97FF-FEAE-594B-93EC-918AE3ED3462}</author>
    <author>tc={94AF07B0-95E4-8345-B898-1DDDC7FEA749}</author>
    <author>tc={FB5B2370-A36D-6D47-91DA-AA321FA83804}</author>
    <author>tc={D057E3A1-C2B3-7A4D-AD40-4CBB6FC6BC45}</author>
    <author>tc={6E3FFD7A-3F11-B140-80F1-0E62897BF59A}</author>
    <author>tc={D833469C-357D-F84D-918F-941F0AEB5CD7}</author>
    <author>tc={1CE9573C-9C9F-6F47-845D-B0356447169F}</author>
    <author>tc={EEB170F0-8740-7D42-9AE7-F67AC15343FD}</author>
    <author>tc={1047F2C4-F615-7046-980F-36142B14A8CD}</author>
    <author>tc={D0775E1C-6D17-3545-B649-26FCEBAEB39B}</author>
    <author>tc={DAD058D3-CEE5-AC40-B3E4-40FA3D70BB2D}</author>
    <author>tc={A1ED068B-A5D6-324C-A449-C54EAA220AFD}</author>
    <author>tc={326B6A9A-BA22-7F4A-B974-C02135559797}</author>
    <author>tc={44337D51-930F-E54B-8BF1-2AE51AE2A7A9}</author>
    <author>tc={4BFEC8C0-8099-2145-AE66-4689EA4A34D6}</author>
    <author>tc={898663CF-8B8F-B242-AC4E-C9A1AF95DF0B}</author>
    <author>tc={8DBBDC3A-59D7-1742-8F27-2B082FB815CE}</author>
    <author>tc={32F881BD-F53F-3B4C-8A82-48958E3ADEFE}</author>
    <author>tc={51076A94-8058-8945-B810-F257262F569B}</author>
    <author>tc={33B5E744-9233-E345-B31A-5E71D49CA9B3}</author>
    <author>tc={367FAE5E-0064-7549-A4FF-16F8246FB78B}</author>
    <author>tc={83A9EF9C-0948-5F4D-A17A-0CBBBBB1688C}</author>
    <author>tc={D063DED1-9516-674F-B7CA-57F90D8AB339}</author>
    <author>tc={2D6F3D4A-4AA5-0D47-B26A-A9BA7630AE9C}</author>
    <author>tc={8942A21B-CF20-0D44-A61A-73583DD04566}</author>
    <author>tc={26EA7A32-4871-224B-9CA8-0EAD100B61CB}</author>
    <author>tc={0F7D37E4-18A0-9041-927C-7180E9697E1B}</author>
    <author>tc={96587FEF-2F5A-9045-A7EF-D52A6821D53A}</author>
    <author>tc={F63BE704-1CC9-3248-9821-EE4691F1DC98}</author>
    <author>tc={A64AC968-9769-0B44-9794-0BB5AF027BAF}</author>
    <author>tc={1BBA380B-7202-F248-87C9-060EDD7AAB02}</author>
    <author>tc={B6389CA2-B734-AB48-B3BB-C595DFE971F3}</author>
    <author>tc={CCB5A86A-8EC9-0B4B-BCD0-DB6EEFFD4466}</author>
    <author>tc={B80CF254-201F-694C-B0E0-59C02D110CEA}</author>
    <author>tc={12023BEC-9086-284C-9399-7BAC34F59FF4}</author>
  </authors>
  <commentList>
    <comment ref="L7" authorId="0" shapeId="0" xr:uid="{4292A2B9-D866-C44C-BB80-12F9F73E8017}">
      <text>
        <t>[Threaded comment]
Your version of Excel allows you to read this threaded comment; however, any edits to it will get removed if the file is opened in a newer version of Excel. Learn more: https://go.microsoft.com/fwlink/?linkid=870924
Comment:
    Implementation</t>
      </text>
    </comment>
    <comment ref="D14" authorId="1" shapeId="0" xr:uid="{9A4E7BAB-1251-1D42-972F-20640C1D99E3}">
      <text>
        <t>[Threaded comment]
Your version of Excel allows you to read this threaded comment; however, any edits to it will get removed if the file is opened in a newer version of Excel. Learn more: https://go.microsoft.com/fwlink/?linkid=870924
Comment:
    Originally Design generation</t>
      </text>
    </comment>
    <comment ref="D15" authorId="2" shapeId="0" xr:uid="{350617E8-CB7E-854B-A3FA-99FB5F0308E9}">
      <text>
        <t>[Threaded comment]
Your version of Excel allows you to read this threaded comment; however, any edits to it will get removed if the file is opened in a newer version of Excel. Learn more: https://go.microsoft.com/fwlink/?linkid=870924
Comment:
    Originally Decision making</t>
      </text>
    </comment>
    <comment ref="D31" authorId="3" shapeId="0" xr:uid="{CC4A3105-23AA-AE40-8D30-88A6D0962C7B}">
      <text>
        <t>[Threaded comment]
Your version of Excel allows you to read this threaded comment; however, any edits to it will get removed if the file is opened in a newer version of Excel. Learn more: https://go.microsoft.com/fwlink/?linkid=870924
Comment:
    Used to be Others</t>
      </text>
    </comment>
    <comment ref="D54" authorId="4" shapeId="0" xr:uid="{E5478F2A-0D3B-DA47-9D0A-326EE48FF199}">
      <text>
        <t>[Threaded comment]
Your version of Excel allows you to read this threaded comment; however, any edits to it will get removed if the file is opened in a newer version of Excel. Learn more: https://go.microsoft.com/fwlink/?linkid=870924
Comment:
    Originally Design generation</t>
      </text>
    </comment>
    <comment ref="D73" authorId="5" shapeId="0" xr:uid="{1501B1DA-D7DE-F340-B5C1-968CA396B5C3}">
      <text>
        <t>[Threaded comment]
Your version of Excel allows you to read this threaded comment; however, any edits to it will get removed if the file is opened in a newer version of Excel. Learn more: https://go.microsoft.com/fwlink/?linkid=870924
Comment:
    Originally Design genereation</t>
      </text>
    </comment>
    <comment ref="D101" authorId="6" shapeId="0" xr:uid="{C775E225-F1F9-2044-B789-C31A095275C7}">
      <text>
        <t>[Threaded comment]
Your version of Excel allows you to read this threaded comment; however, any edits to it will get removed if the file is opened in a newer version of Excel. Learn more: https://go.microsoft.com/fwlink/?linkid=870924
Comment:
    Used to be  Others</t>
      </text>
    </comment>
    <comment ref="F164" authorId="7" shapeId="0" xr:uid="{C98A3CD4-583F-8540-9BB9-832A5B1195C6}">
      <text>
        <t>[Threaded comment]
Your version of Excel allows you to read this threaded comment; however, any edits to it will get removed if the file is opened in a newer version of Excel. Learn more: https://go.microsoft.com/fwlink/?linkid=870924
Comment:
    Customised</t>
      </text>
    </comment>
    <comment ref="F177" authorId="8" shapeId="0" xr:uid="{1FFD9E0C-0103-E646-9AF9-233E057DB18F}">
      <text>
        <t xml:space="preserve">[Threaded comment]
Your version of Excel allows you to read this threaded comment; however, any edits to it will get removed if the file is opened in a newer version of Excel. Learn more: https://go.microsoft.com/fwlink/?linkid=870924
Comment:
    Customised
</t>
      </text>
    </comment>
    <comment ref="D223" authorId="9" shapeId="0" xr:uid="{5B508995-FD0B-5146-9400-61794093F718}">
      <text>
        <t>[Threaded comment]
Your version of Excel allows you to read this threaded comment; however, any edits to it will get removed if the file is opened in a newer version of Excel. Learn more: https://go.microsoft.com/fwlink/?linkid=870924
Comment:
    Others -&gt; Co-ordination</t>
      </text>
    </comment>
    <comment ref="J223" authorId="10" shapeId="0" xr:uid="{2BD763B9-E84E-9A46-BFEE-9B77D7194960}">
      <text>
        <t>[Threaded comment]
Your version of Excel allows you to read this threaded comment; however, any edits to it will get removed if the file is opened in a newer version of Excel. Learn more: https://go.microsoft.com/fwlink/?linkid=870924
Comment:
    Used when developing goal. Using AI endorsed by the company give security and variety when creating goals. Also give better worded statements.</t>
      </text>
    </comment>
    <comment ref="J226" authorId="11" shapeId="0" xr:uid="{3CE21AE5-B5AF-5F46-A54A-2B48057DCEB6}">
      <text>
        <t>[Threaded comment]
Your version of Excel allows you to read this threaded comment; however, any edits to it will get removed if the file is opened in a newer version of Excel. Learn more: https://go.microsoft.com/fwlink/?linkid=870924
Comment:
    Something that is done manually previously can be saved time </t>
      </text>
    </comment>
    <comment ref="L226" authorId="12" shapeId="0" xr:uid="{57E68D90-5BAC-C542-A326-B0D6271448C5}">
      <text>
        <t>[Threaded comment]
Your version of Excel allows you to read this threaded comment; however, any edits to it will get removed if the file is opened in a newer version of Excel. Learn more: https://go.microsoft.com/fwlink/?linkid=870924
Comment:
    miscategorization of matierals that are rare</t>
      </text>
    </comment>
    <comment ref="J227" authorId="13" shapeId="0" xr:uid="{78CCFDE0-5AC2-6E4A-B38B-8B8B5F6F45F4}">
      <text>
        <t>[Threaded comment]
Your version of Excel allows you to read this threaded comment; however, any edits to it will get removed if the file is opened in a newer version of Excel. Learn more: https://go.microsoft.com/fwlink/?linkid=870924
Comment:
    AI create more time for team to communicate and work together</t>
      </text>
    </comment>
    <comment ref="K227" authorId="14" shapeId="0" xr:uid="{B598339A-5F41-C14E-A156-B31E29F65702}">
      <text>
        <t>[Threaded comment]
Your version of Excel allows you to read this threaded comment; however, any edits to it will get removed if the file is opened in a newer version of Excel. Learn more: https://go.microsoft.com/fwlink/?linkid=870924
Comment:
    Focus on the communciation rather than recording</t>
      </text>
    </comment>
    <comment ref="L227" authorId="15" shapeId="0" xr:uid="{815126D0-7E6A-1649-9898-4FFC8D1CD08C}">
      <text>
        <t>[Threaded comment]
Your version of Excel allows you to read this threaded comment; however, any edits to it will get removed if the file is opened in a newer version of Excel. Learn more: https://go.microsoft.com/fwlink/?linkid=870924
Comment:
    Checking on accuracy of AI for every use due to limited trust</t>
      </text>
    </comment>
    <comment ref="M227" authorId="16" shapeId="0" xr:uid="{8C8705D4-83D2-7B4F-A635-D8580169063A}">
      <text>
        <t>[Threaded comment]
Your version of Excel allows you to read this threaded comment; however, any edits to it will get removed if the file is opened in a newer version of Excel. Learn more: https://go.microsoft.com/fwlink/?linkid=870924
Comment:
    Not capturing everything that is discussed such as body language, the scores are not always right because of lack of nuanced understanding (esp read.ai/otter)</t>
      </text>
    </comment>
    <comment ref="D228" authorId="17" shapeId="0" xr:uid="{E3CA5766-2A96-A947-8A56-F64BA419F1D5}">
      <text>
        <t>[Threaded comment]
Your version of Excel allows you to read this threaded comment; however, any edits to it will get removed if the file is opened in a newer version of Excel. Learn more: https://go.microsoft.com/fwlink/?linkid=870924
Comment:
    this card was placed in the middle of the develop and deliver categories but I decided to slide it over to the deliver section based off the content on the card.</t>
      </text>
    </comment>
    <comment ref="F228" authorId="18" shapeId="0" xr:uid="{ECB10843-5463-4143-8B5D-760C20C3F37C}">
      <text>
        <t>[Threaded comment]
Your version of Excel allows you to read this threaded comment; however, any edits to it will get removed if the file is opened in a newer version of Excel. Learn more: https://go.microsoft.com/fwlink/?linkid=870924
Comment:
    Agentic AI workflows -&gt; Customized AI Tool</t>
      </text>
    </comment>
    <comment ref="J228" authorId="19" shapeId="0" xr:uid="{0AE9CD13-8F0F-6B46-9444-AED029E2D9DB}">
      <text>
        <t>[Threaded comment]
Your version of Excel allows you to read this threaded comment; however, any edits to it will get removed if the file is opened in a newer version of Excel. Learn more: https://go.microsoft.com/fwlink/?linkid=870924
Comment:
    Many solutions can be explored simultaenousely</t>
      </text>
    </comment>
    <comment ref="K228" authorId="20" shapeId="0" xr:uid="{294463F5-F8CD-3843-949C-C07C90042C49}">
      <text>
        <t>[Threaded comment]
Your version of Excel allows you to read this threaded comment; however, any edits to it will get removed if the file is opened in a newer version of Excel. Learn more: https://go.microsoft.com/fwlink/?linkid=870924
Comment:
    The user has to do very little work, just orchestrate</t>
      </text>
    </comment>
    <comment ref="L228" authorId="21" shapeId="0" xr:uid="{50D1663C-1603-B543-B165-0D1ED6DB5BF8}">
      <text>
        <t>[Threaded comment]
Your version of Excel allows you to read this threaded comment; however, any edits to it will get removed if the file is opened in a newer version of Excel. Learn more: https://go.microsoft.com/fwlink/?linkid=870924
Comment:
    Users creativity is largely not involved</t>
      </text>
    </comment>
    <comment ref="M228" authorId="22" shapeId="0" xr:uid="{BC548E00-6E59-234C-AE33-C0746548E7B2}">
      <text>
        <t>[Threaded comment]
Your version of Excel allows you to read this threaded comment; however, any edits to it will get removed if the file is opened in a newer version of Excel. Learn more: https://go.microsoft.com/fwlink/?linkid=870924
Comment:
    USer has little control over the outcomes of the coordination</t>
      </text>
    </comment>
    <comment ref="J229" authorId="23" shapeId="0" xr:uid="{FF9CEBE5-D4D3-B14A-BA25-25785884C3DA}">
      <text>
        <t>[Threaded comment]
Your version of Excel allows you to read this threaded comment; however, any edits to it will get removed if the file is opened in a newer version of Excel. Learn more: https://go.microsoft.com/fwlink/?linkid=870924
Comment:
    Can do complex calculations and find the optimal design </t>
      </text>
    </comment>
    <comment ref="M229" authorId="24" shapeId="0" xr:uid="{3ED2EFC7-0855-644C-BDC7-C4A3563CD0D8}">
      <text>
        <t>[Threaded comment]
Your version of Excel allows you to read this threaded comment; however, any edits to it will get removed if the file is opened in a newer version of Excel. Learn more: https://go.microsoft.com/fwlink/?linkid=870924
Comment:
    Engineers might totally delegate the creative part to the AI and trying to make innovative designs. </t>
      </text>
    </comment>
    <comment ref="J230" authorId="25" shapeId="0" xr:uid="{12778E33-1059-1146-8F88-D6E53B404B68}">
      <text>
        <t>[Threaded comment]
Your version of Excel allows you to read this threaded comment; however, any edits to it will get removed if the file is opened in a newer version of Excel. Learn more: https://go.microsoft.com/fwlink/?linkid=870924
Comment:
    Changes how simulations are created allowing to run more integrated into the design process</t>
      </text>
    </comment>
    <comment ref="K230" authorId="26" shapeId="0" xr:uid="{F04ACF84-81D0-554A-8E30-6BAF32493FA0}">
      <text>
        <t>[Threaded comment]
Your version of Excel allows you to read this threaded comment; however, any edits to it will get removed if the file is opened in a newer version of Excel. Learn more: https://go.microsoft.com/fwlink/?linkid=870924
Comment:
    Opens up who could develop simulations outside typical experts towards other disciplines without having to train on the tools and processes.</t>
      </text>
    </comment>
    <comment ref="L230" authorId="27" shapeId="0" xr:uid="{628318AE-1D14-F54A-8020-B03EC4D745E6}">
      <text>
        <t>[Threaded comment]
Your version of Excel allows you to read this threaded comment; however, any edits to it will get removed if the file is opened in a newer version of Excel. Learn more: https://go.microsoft.com/fwlink/?linkid=870924
Comment:
    Need to calibrate, test, and evaluate AI generated models to human generated</t>
      </text>
    </comment>
    <comment ref="M230" authorId="28" shapeId="0" xr:uid="{968E97FF-FEAE-594B-93EC-918AE3ED3462}">
      <text>
        <t>[Threaded comment]
Your version of Excel allows you to read this threaded comment; however, any edits to it will get removed if the file is opened in a newer version of Excel. Learn more: https://go.microsoft.com/fwlink/?linkid=870924
Comment:
    Data set for models would need to be created, trained, and tested rather than use existing data. Need to determine how to optimize the data to train on so not too little or too much.</t>
      </text>
    </comment>
    <comment ref="D232" authorId="29" shapeId="0" xr:uid="{94AF07B0-95E4-8345-B898-1DDDC7FEA749}">
      <text>
        <t>[Threaded comment]
Your version of Excel allows you to read this threaded comment; however, any edits to it will get removed if the file is opened in a newer version of Excel. Learn more: https://go.microsoft.com/fwlink/?linkid=870924
Comment:
    Originally design generation</t>
      </text>
    </comment>
    <comment ref="K234" authorId="30" shapeId="0" xr:uid="{FB5B2370-A36D-6D47-91DA-AA321FA83804}">
      <text>
        <t>[Threaded comment]
Your version of Excel allows you to read this threaded comment; however, any edits to it will get removed if the file is opened in a newer version of Excel. Learn more: https://go.microsoft.com/fwlink/?linkid=870924
Comment:
    Inventory control efficiency increased due to less miss-matched orders</t>
      </text>
    </comment>
    <comment ref="J235" authorId="31" shapeId="0" xr:uid="{D057E3A1-C2B3-7A4D-AD40-4CBB6FC6BC45}">
      <text>
        <t>[Threaded comment]
Your version of Excel allows you to read this threaded comment; however, any edits to it will get removed if the file is opened in a newer version of Excel. Learn more: https://go.microsoft.com/fwlink/?linkid=870924
Comment:
    The code output are accurate and can be applied for broad use</t>
      </text>
    </comment>
    <comment ref="K235" authorId="32" shapeId="0" xr:uid="{6E3FFD7A-3F11-B140-80F1-0E62897BF59A}">
      <text>
        <t>[Threaded comment]
Your version of Excel allows you to read this threaded comment; however, any edits to it will get removed if the file is opened in a newer version of Excel. Learn more: https://go.microsoft.com/fwlink/?linkid=870924
Comment:
    Previously things wouldn't have been possible without learning for long period of time</t>
      </text>
    </comment>
    <comment ref="L235" authorId="33" shapeId="0" xr:uid="{D833469C-357D-F84D-918F-941F0AEB5CD7}">
      <text>
        <t>[Threaded comment]
Your version of Excel allows you to read this threaded comment; however, any edits to it will get removed if the file is opened in a newer version of Excel. Learn more: https://go.microsoft.com/fwlink/?linkid=870924
Comment:
    not learning how to generate code but review code instead</t>
      </text>
    </comment>
    <comment ref="L236" authorId="34" shapeId="0" xr:uid="{1CE9573C-9C9F-6F47-845D-B0356447169F}">
      <text>
        <t>[Threaded comment]
Your version of Excel allows you to read this threaded comment; however, any edits to it will get removed if the file is opened in a newer version of Excel. Learn more: https://go.microsoft.com/fwlink/?linkid=870924
Comment:
    failes to accurately understand the problem</t>
      </text>
    </comment>
    <comment ref="J237" authorId="35" shapeId="0" xr:uid="{EEB170F0-8740-7D42-9AE7-F67AC15343FD}">
      <text>
        <t>[Threaded comment]
Your version of Excel allows you to read this threaded comment; however, any edits to it will get removed if the file is opened in a newer version of Excel. Learn more: https://go.microsoft.com/fwlink/?linkid=870924
Comment:
    It is very fast to go from concept to model</t>
      </text>
    </comment>
    <comment ref="K237" authorId="36" shapeId="0" xr:uid="{1047F2C4-F615-7046-980F-36142B14A8CD}">
      <text>
        <t>[Threaded comment]
Your version of Excel allows you to read this threaded comment; however, any edits to it will get removed if the file is opened in a newer version of Excel. Learn more: https://go.microsoft.com/fwlink/?linkid=870924
Comment:
    No experience needed to create models</t>
      </text>
    </comment>
    <comment ref="L237" authorId="37" shapeId="0" xr:uid="{D0775E1C-6D17-3545-B649-26FCEBAEB39B}">
      <text>
        <t>[Threaded comment]
Your version of Excel allows you to read this threaded comment; however, any edits to it will get removed if the file is opened in a newer version of Excel. Learn more: https://go.microsoft.com/fwlink/?linkid=870924
Comment:
    Not all features are included in the co-pilots</t>
      </text>
    </comment>
    <comment ref="M237" authorId="38" shapeId="0" xr:uid="{DAD058D3-CEE5-AC40-B3E4-40FA3D70BB2D}">
      <text>
        <t>[Threaded comment]
Your version of Excel allows you to read this threaded comment; however, any edits to it will get removed if the file is opened in a newer version of Excel. Learn more: https://go.microsoft.com/fwlink/?linkid=870924
Comment:
    It takes a lot of compute power to make this work effectively</t>
      </text>
    </comment>
    <comment ref="J238" authorId="39" shapeId="0" xr:uid="{A1ED068B-A5D6-324C-A449-C54EAA220AFD}">
      <text>
        <t>[Threaded comment]
Your version of Excel allows you to read this threaded comment; however, any edits to it will get removed if the file is opened in a newer version of Excel. Learn more: https://go.microsoft.com/fwlink/?linkid=870924
Comment:
    allows for design variations without the need for time/effort from a team of designers</t>
      </text>
    </comment>
    <comment ref="J239" authorId="40" shapeId="0" xr:uid="{326B6A9A-BA22-7F4A-B974-C02135559797}">
      <text>
        <t>[Threaded comment]
Your version of Excel allows you to read this threaded comment; however, any edits to it will get removed if the file is opened in a newer version of Excel. Learn more: https://go.microsoft.com/fwlink/?linkid=870924
Comment:
    When writing long paper such as law and regulations, it saves time and money to rewrite and make changes</t>
      </text>
    </comment>
    <comment ref="K239" authorId="41" shapeId="0" xr:uid="{44337D51-930F-E54B-8BF1-2AE51AE2A7A9}">
      <text>
        <t>[Threaded comment]
Your version of Excel allows you to read this threaded comment; however, any edits to it will get removed if the file is opened in a newer version of Excel. Learn more: https://go.microsoft.com/fwlink/?linkid=870924
Comment:
    AI can be used to solve problems for broad spectrum with time saving, old codes that keep on getting built up and complex but AI helps hash through and rewrite</t>
      </text>
    </comment>
    <comment ref="K240" authorId="42" shapeId="0" xr:uid="{4BFEC8C0-8099-2145-AE66-4689EA4A34D6}">
      <text>
        <t>[Threaded comment]
Your version of Excel allows you to read this threaded comment; however, any edits to it will get removed if the file is opened in a newer version of Excel. Learn more: https://go.microsoft.com/fwlink/?linkid=870924
Comment:
    Enables me to quickly sort through ideas and get initial take on feasibility</t>
      </text>
    </comment>
    <comment ref="J242" authorId="43" shapeId="0" xr:uid="{898663CF-8B8F-B242-AC4E-C9A1AF95DF0B}">
      <text>
        <t>[Threaded comment]
Your version of Excel allows you to read this threaded comment; however, any edits to it will get removed if the file is opened in a newer version of Excel. Learn more: https://go.microsoft.com/fwlink/?linkid=870924
Comment:
    Great method for knowledge transfer</t>
      </text>
    </comment>
    <comment ref="K242" authorId="44" shapeId="0" xr:uid="{8DBBDC3A-59D7-1742-8F27-2B082FB815CE}">
      <text>
        <t>[Threaded comment]
Your version of Excel allows you to read this threaded comment; however, any edits to it will get removed if the file is opened in a newer version of Excel. Learn more: https://go.microsoft.com/fwlink/?linkid=870924
Comment:
    Enables user to bring in domain specific information</t>
      </text>
    </comment>
    <comment ref="L242" authorId="45" shapeId="0" xr:uid="{32F881BD-F53F-3B4C-8A82-48958E3ADEFE}">
      <text>
        <t>[Threaded comment]
Your version of Excel allows you to read this threaded comment; however, any edits to it will get removed if the file is opened in a newer version of Excel. Learn more: https://go.microsoft.com/fwlink/?linkid=870924
Comment:
    Difficult to scale across organizational data</t>
      </text>
    </comment>
    <comment ref="M242" authorId="46" shapeId="0" xr:uid="{51076A94-8058-8945-B810-F257262F569B}">
      <text>
        <t>[Threaded comment]
Your version of Excel allows you to read this threaded comment; however, any edits to it will get removed if the file is opened in a newer version of Excel. Learn more: https://go.microsoft.com/fwlink/?linkid=870924
Comment:
    Developing the knowledge base can take considerable effort and cost</t>
      </text>
    </comment>
    <comment ref="J244" authorId="47" shapeId="0" xr:uid="{33B5E744-9233-E345-B31A-5E71D49CA9B3}">
      <text>
        <t>[Threaded comment]
Your version of Excel allows you to read this threaded comment; however, any edits to it will get removed if the file is opened in a newer version of Excel. Learn more: https://go.microsoft.com/fwlink/?linkid=870924
Comment:
    New Ideas that weren't think about</t>
      </text>
    </comment>
    <comment ref="K244" authorId="48" shapeId="0" xr:uid="{367FAE5E-0064-7549-A4FF-16F8246FB78B}">
      <text>
        <t>[Threaded comment]
Your version of Excel allows you to read this threaded comment; however, any edits to it will get removed if the file is opened in a newer version of Excel. Learn more: https://go.microsoft.com/fwlink/?linkid=870924
Comment:
    Saving cost and time</t>
      </text>
    </comment>
    <comment ref="L244" authorId="49" shapeId="0" xr:uid="{83A9EF9C-0948-5F4D-A17A-0CBBBBB1688C}">
      <text>
        <t>[Threaded comment]
Your version of Excel allows you to read this threaded comment; however, any edits to it will get removed if the file is opened in a newer version of Excel. Learn more: https://go.microsoft.com/fwlink/?linkid=870924
Comment:
    AI might not have all the information needed or wrong infromation with make-up</t>
      </text>
    </comment>
    <comment ref="J245" authorId="50" shapeId="0" xr:uid="{D063DED1-9516-674F-B7CA-57F90D8AB339}">
      <text>
        <t>[Threaded comment]
Your version of Excel allows you to read this threaded comment; however, any edits to it will get removed if the file is opened in a newer version of Excel. Learn more: https://go.microsoft.com/fwlink/?linkid=870924
Comment:
    Can extract data from multiple resources in a short time</t>
      </text>
    </comment>
    <comment ref="K245" authorId="51" shapeId="0" xr:uid="{2D6F3D4A-4AA5-0D47-B26A-A9BA7630AE9C}">
      <text>
        <t>[Threaded comment]
Your version of Excel allows you to read this threaded comment; however, any edits to it will get removed if the file is opened in a newer version of Excel. Learn more: https://go.microsoft.com/fwlink/?linkid=870924
Comment:
    Can put together the collected data in an efficient way. </t>
      </text>
    </comment>
    <comment ref="J246" authorId="52" shapeId="0" xr:uid="{8942A21B-CF20-0D44-A61A-73583DD04566}">
      <text>
        <t>[Threaded comment]
Your version of Excel allows you to read this threaded comment; however, any edits to it will get removed if the file is opened in a newer version of Excel. Learn more: https://go.microsoft.com/fwlink/?linkid=870924
Comment:
    Time saving through quick pharaphrasing.</t>
      </text>
    </comment>
    <comment ref="L246" authorId="53" shapeId="0" xr:uid="{26EA7A32-4871-224B-9CA8-0EAD100B61CB}">
      <text>
        <t>[Threaded comment]
Your version of Excel allows you to read this threaded comment; however, any edits to it will get removed if the file is opened in a newer version of Excel. Learn more: https://go.microsoft.com/fwlink/?linkid=870924
Comment:
    Good at phrasing, but AI didn't provide sufficient solution</t>
      </text>
    </comment>
    <comment ref="L253" authorId="54" shapeId="0" xr:uid="{0F7D37E4-18A0-9041-927C-7180E9697E1B}">
      <text>
        <t>[Threaded comment]
Your version of Excel allows you to read this threaded comment; however, any edits to it will get removed if the file is opened in a newer version of Excel. Learn more: https://go.microsoft.com/fwlink/?linkid=870924
Comment:
    it might be more efficient to create my own timeline &amp; tasks since i'll have a better grasp on how long each task will take</t>
      </text>
    </comment>
    <comment ref="D255" authorId="55" shapeId="0" xr:uid="{96587FEF-2F5A-9045-A7EF-D52A6821D53A}">
      <text>
        <t>[Threaded comment]
Your version of Excel allows you to read this threaded comment; however, any edits to it will get removed if the file is opened in a newer version of Excel. Learn more: https://go.microsoft.com/fwlink/?linkid=870924
Comment:
    Originally knowledge augmentation</t>
      </text>
    </comment>
    <comment ref="J255" authorId="56" shapeId="0" xr:uid="{F63BE704-1CC9-3248-9821-EE4691F1DC98}">
      <text>
        <t>[Threaded comment]
Your version of Excel allows you to read this threaded comment; however, any edits to it will get removed if the file is opened in a newer version of Excel. Learn more: https://go.microsoft.com/fwlink/?linkid=870924
Comment:
    Trust is relatively high because requirements reviews are </t>
      </text>
    </comment>
    <comment ref="J256" authorId="57" shapeId="0" xr:uid="{A64AC968-9769-0B44-9794-0BB5AF027BAF}">
      <text>
        <t>[Threaded comment]
Your version of Excel allows you to read this threaded comment; however, any edits to it will get removed if the file is opened in a newer version of Excel. Learn more: https://go.microsoft.com/fwlink/?linkid=870924
Comment:
    Can consider different needs in different people in their unique circumstances.</t>
      </text>
    </comment>
    <comment ref="L256" authorId="58" shapeId="0" xr:uid="{1BBA380B-7202-F248-87C9-060EDD7AAB02}">
      <text>
        <t>[Threaded comment]
Your version of Excel allows you to read this threaded comment; however, any edits to it will get removed if the file is opened in a newer version of Excel. Learn more: https://go.microsoft.com/fwlink/?linkid=870924
Comment:
    Its lack of lived experience makes its suggestions less reliable.</t>
      </text>
    </comment>
    <comment ref="J257" authorId="59" shapeId="0" xr:uid="{B6389CA2-B734-AB48-B3BB-C595DFE971F3}">
      <text>
        <t>[Threaded comment]
Your version of Excel allows you to read this threaded comment; however, any edits to it will get removed if the file is opened in a newer version of Excel. Learn more: https://go.microsoft.com/fwlink/?linkid=870924
Comment:
    Even the free versions are adequate and anyone can access it.</t>
      </text>
    </comment>
    <comment ref="D259" authorId="60" shapeId="0" xr:uid="{CCB5A86A-8EC9-0B4B-BCD0-DB6EEFFD4466}">
      <text>
        <t>[Threaded comment]
Your version of Excel allows you to read this threaded comment; however, any edits to it will get removed if the file is opened in a newer version of Excel. Learn more: https://go.microsoft.com/fwlink/?linkid=870924
Comment:
    Originally knowledge augmentation</t>
      </text>
    </comment>
    <comment ref="L260" authorId="61" shapeId="0" xr:uid="{B80CF254-201F-694C-B0E0-59C02D110CEA}">
      <text>
        <t>[Threaded comment]
Your version of Excel allows you to read this threaded comment; however, any edits to it will get removed if the file is opened in a newer version of Excel. Learn more: https://go.microsoft.com/fwlink/?linkid=870924
Comment:
    may not be accurate in terms of feasibility based on the design system used and expertise of devloper(s)</t>
      </text>
    </comment>
    <comment ref="L262" authorId="62" shapeId="0" xr:uid="{12023BEC-9086-284C-9399-7BAC34F59FF4}">
      <text>
        <t>[Threaded comment]
Your version of Excel allows you to read this threaded comment; however, any edits to it will get removed if the file is opened in a newer version of Excel. Learn more: https://go.microsoft.com/fwlink/?linkid=870924
Comment:
    may not truly reflect how users will interact with prototypes</t>
      </text>
    </comment>
  </commentList>
</comments>
</file>

<file path=xl/sharedStrings.xml><?xml version="1.0" encoding="utf-8"?>
<sst xmlns="http://schemas.openxmlformats.org/spreadsheetml/2006/main" count="4160" uniqueCount="1106">
  <si>
    <t>Design Practice (Original)</t>
  </si>
  <si>
    <t>1st Order Code</t>
  </si>
  <si>
    <t>2nd Order Category</t>
  </si>
  <si>
    <t>Aggregated Dimension</t>
  </si>
  <si>
    <t>Market Research</t>
  </si>
  <si>
    <t>Scanning market landscape and competitive environment</t>
  </si>
  <si>
    <t>Domain &amp; Technical Knowledge Gathering</t>
  </si>
  <si>
    <t>Knowledge Acquisition &amp; Research</t>
  </si>
  <si>
    <t>경쟁사, 경쟁사 제품 기능, 특징, 자료조사 및 분석</t>
  </si>
  <si>
    <t>Comparative analysis of competitor products, features, and characteristics</t>
  </si>
  <si>
    <t>Literature search , market information</t>
  </si>
  <si>
    <t>Searching academic literature and market data simultaneously</t>
  </si>
  <si>
    <t>Literature search for AI model structures and patent searching</t>
  </si>
  <si>
    <t>Searching technical literature and patents to avoid duplication</t>
  </si>
  <si>
    <t>Searching patents</t>
  </si>
  <si>
    <t>Patent search to identify prior art and IP boundaries</t>
  </si>
  <si>
    <t>codes &amp; standards research</t>
  </si>
  <si>
    <t>Researching applicable technical codes and regulatory standards</t>
  </si>
  <si>
    <t>Define ISO standard documentation i.e. Corrective Action Reports</t>
  </si>
  <si>
    <t>Identifying and interpreting ISO documentation requirements</t>
  </si>
  <si>
    <t>learn gaps in clinical workflows/current clinical guidelines</t>
  </si>
  <si>
    <t>Understanding gaps in clinical practice and professional guidelines</t>
  </si>
  <si>
    <t>Flling in industry knowledge gaps</t>
  </si>
  <si>
    <t>Using AI to bridge designer's knowledge gaps in unfamiliar industries</t>
  </si>
  <si>
    <t>도메인 (전문지식) 리서치</t>
  </si>
  <si>
    <t>Domain-specific professional knowledge research</t>
  </si>
  <si>
    <t>교육/시험/ 법률/ 사례 탐색</t>
  </si>
  <si>
    <t>Exploring educational, legal, and regulatory precedents</t>
  </si>
  <si>
    <t>정책 리서치</t>
  </si>
  <si>
    <t>Policy and regulatory landscape research</t>
  </si>
  <si>
    <t>법무법규판단, 대화내용 정리 및 학습</t>
  </si>
  <si>
    <t>Interpreting legal/regulatory requirements and learning from prior discussions</t>
  </si>
  <si>
    <t>Learning more about geographical constraints that affect manufacturing, so that I can change my fabrication strategies.</t>
  </si>
  <si>
    <t>Learning location-specific manufacturing constraints to adapt design strategies</t>
  </si>
  <si>
    <t>Expanding my knowledge on product history and potential users' background</t>
  </si>
  <si>
    <t>Background research on product history and user context</t>
  </si>
  <si>
    <t>leveraging extensive bodies of design information (text, diagrams, data)</t>
  </si>
  <si>
    <t>Synthesising large multi-format design knowledge corpora</t>
  </si>
  <si>
    <t>Search for technical feasibility</t>
  </si>
  <si>
    <t>Investigating whether a concept is technically achievable</t>
  </si>
  <si>
    <t>Gain knowledge and info</t>
  </si>
  <si>
    <t>General information and knowledge acquisition</t>
  </si>
  <si>
    <t>deep/detailed research on any 
topics</t>
  </si>
  <si>
    <t>Conducting deep-dive research across diverse and unfamiliar topics</t>
  </si>
  <si>
    <t>conduct deep/detailed research on any topics and generate a report</t>
  </si>
  <si>
    <t>AI-assisted deep research with automatic report generation</t>
  </si>
  <si>
    <t>gathering insights on existing web accessibility guidance</t>
  </si>
  <si>
    <t>Researching established accessibility standards and guidance</t>
  </si>
  <si>
    <t>전문적 지식대화, 리서치 아이디어 제공</t>
  </si>
  <si>
    <t>Engaging AI as a knowledgeable conversation partner and research ideation sparring partner</t>
  </si>
  <si>
    <t>관심분야 공부</t>
  </si>
  <si>
    <t>Self-directed learning in areas of interest via AI</t>
  </si>
  <si>
    <t>Improving programme skills
i.e., AI as personal tutor</t>
  </si>
  <si>
    <t>AI as personalised skill tutor for professional development</t>
  </si>
  <si>
    <t>learning codes faster</t>
  </si>
  <si>
    <t>Accelerated learning of programming languages and code conventions</t>
  </si>
  <si>
    <t>Trend Research (Market, Design, Industry) How can we align mission with current trends and expectation?</t>
  </si>
  <si>
    <t>Cross-domain trend research to align design mission with current expectations</t>
  </si>
  <si>
    <t>Trend &amp; Market Intelligence</t>
  </si>
  <si>
    <t>Forecast trends in digital health/pertinant to company goals</t>
  </si>
  <si>
    <t>Forecasting sector-specific trends relevant to strategic company goals</t>
  </si>
  <si>
    <t>Understand and predict market, industry design trend</t>
  </si>
  <si>
    <t>Predicting market and design trends to inform design direction</t>
  </si>
  <si>
    <t>시장동향 정보수집</t>
  </si>
  <si>
    <t>Collecting market trend information</t>
  </si>
  <si>
    <t>시장동향 리서치, 논문 및 심층
리서치</t>
  </si>
  <si>
    <t>Market trend research combined with academic and in-depth investigation</t>
  </si>
  <si>
    <t>마켓 트렌드 검증</t>
  </si>
  <si>
    <t>Verifying identified market trends</t>
  </si>
  <si>
    <t>디자인 트렌드 리서치</t>
  </si>
  <si>
    <t>Design trend research</t>
  </si>
  <si>
    <t>디자인 트렌드 검색</t>
  </si>
  <si>
    <t>Searching for current design trends</t>
  </si>
  <si>
    <t>트렌드 리서치, 검색</t>
  </si>
  <si>
    <t>Trend research and search</t>
  </si>
  <si>
    <t>트렌드 리서치, 제품 리서치 및
제품 별 차이점 분석</t>
  </si>
  <si>
    <t>Trend and product research with comparative product differentiation analysis</t>
  </si>
  <si>
    <t>마켓리서치, 경쟁사 분석</t>
  </si>
  <si>
    <t>Market research and competitor analysis</t>
  </si>
  <si>
    <t>UX research</t>
  </si>
  <si>
    <t>Conducting UX research to understand user needs and behaviours</t>
  </si>
  <si>
    <t>User Research &amp; Insight Collection</t>
  </si>
  <si>
    <t>User Research (Collective knowledge)</t>
  </si>
  <si>
    <t>Aggregating collective user knowledge through research</t>
  </si>
  <si>
    <t>Project Research and Product Captures</t>
  </si>
  <si>
    <t>Research-stage information gathering tied to product scope</t>
  </si>
  <si>
    <t>환경 및 사용자 분석</t>
  </si>
  <si>
    <t>Environmental and user context analysis</t>
  </si>
  <si>
    <t>사용자 경험 조사, 패턴도출  (보이스피싱 피해 패턴 도출)</t>
  </si>
  <si>
    <t>User experience investigation and behavioural pattern extraction</t>
  </si>
  <si>
    <t>질적데이터 수집- 정신건강
인터뷰 데이터</t>
  </si>
  <si>
    <t>Qualitative data collection from mental health interview data</t>
  </si>
  <si>
    <t>리서치 계획, 분석</t>
  </si>
  <si>
    <t>Planning and executing research methodology</t>
  </si>
  <si>
    <t>사용자 리서치 설계</t>
  </si>
  <si>
    <t>Designing user research protocols</t>
  </si>
  <si>
    <t>사용자 리서치 시 실시간 내용 정리(분석)</t>
  </si>
  <si>
    <t>Real-time capture and analysis of user research sessions</t>
  </si>
  <si>
    <t>현상에 대한 정보 수집</t>
  </si>
  <si>
    <t>Collecting information about observed phenomena</t>
  </si>
  <si>
    <t>키워드 리서치</t>
  </si>
  <si>
    <t>Keyword research to surface relevant concepts and terminology</t>
  </si>
  <si>
    <t>데스크 리서치</t>
  </si>
  <si>
    <t>Secondary desk research</t>
  </si>
  <si>
    <t>다양한 주제에 대한 데스크 리서치</t>
  </si>
  <si>
    <t>Broad desk research across multiple topics</t>
  </si>
  <si>
    <t>Reference Search</t>
  </si>
  <si>
    <t>Searching for visual and conceptual references</t>
  </si>
  <si>
    <t>AI 기반 검색 도우미,
프로젝트 scope 교차검증</t>
  </si>
  <si>
    <t>AI-assisted searching with cross-validation of project scope</t>
  </si>
  <si>
    <t>Searching assistant</t>
  </si>
  <si>
    <t>AI as a general search and retrieval assistant</t>
  </si>
  <si>
    <t>Gathering the required information for my design</t>
  </si>
  <si>
    <t>Targeted information gathering in service of a specific design brief</t>
  </si>
  <si>
    <t>논문 리서치</t>
  </si>
  <si>
    <t>Academic literature research</t>
  </si>
  <si>
    <t>논문자료 찾기 및 정리하여
요약하기</t>
  </si>
  <si>
    <t>Finding, organising, and summarising academic papers</t>
  </si>
  <si>
    <t>사례 찾기</t>
  </si>
  <si>
    <t>Searching for precedent cases and analogous examples</t>
  </si>
  <si>
    <t>Customer intelligence management</t>
  </si>
  <si>
    <t>Managing and leveraging customer intelligence data</t>
  </si>
  <si>
    <t>Idea generation</t>
  </si>
  <si>
    <t>Generating initial ideas for design direction</t>
  </si>
  <si>
    <t>Concept &amp; Idea Development</t>
  </si>
  <si>
    <t>Ideation &amp; Creative Generation</t>
  </si>
  <si>
    <t>아이디에이션, 기회 발견</t>
  </si>
  <si>
    <t>Ideation and opportunity discovery</t>
  </si>
  <si>
    <t>기능 및 솔루션 ideation</t>
  </si>
  <si>
    <t>Ideating features and solution options</t>
  </si>
  <si>
    <t>Generating possible ideas for my design</t>
  </si>
  <si>
    <t>Generating candidate design ideas</t>
  </si>
  <si>
    <t>AI 와 Co-Creation 으로 서비스
아이디어 확장</t>
  </si>
  <si>
    <t>Expanding service ideas through AI co-creation</t>
  </si>
  <si>
    <t>Developing moodboards
and ideation</t>
  </si>
  <si>
    <t>Creating moodboards and visual ideation materials</t>
  </si>
  <si>
    <t>사업계획 방향성 기획
브레인스토밍</t>
  </si>
  <si>
    <t>Brainstorming business plan direction and strategic options</t>
  </si>
  <si>
    <t>디자인 방향 제안</t>
  </si>
  <si>
    <t>Proposing design direction</t>
  </si>
  <si>
    <t>Material suggestion,
Business plan</t>
  </si>
  <si>
    <t>AI-suggested material choices and business planning inputs</t>
  </si>
  <si>
    <t>Listing possible design
patterns for a problem</t>
  </si>
  <si>
    <t>Generating a menu of applicable design patterns for a given problem</t>
  </si>
  <si>
    <t>기획방향 도출</t>
  </si>
  <si>
    <t>Deriving planning and project direction</t>
  </si>
  <si>
    <t>Deciding on the product/ service attributes</t>
  </si>
  <si>
    <t>Defining and deciding on product/service attributes</t>
  </si>
  <si>
    <t>Informing strategic discussion</t>
  </si>
  <si>
    <t>Using AI-generated insights to inform strategic conversations</t>
  </si>
  <si>
    <t>Strategic Discussion</t>
  </si>
  <si>
    <t>Supporting strategic-level design discussions</t>
  </si>
  <si>
    <t>목표, 방향 설정, 사업기획 및
전략 수립</t>
  </si>
  <si>
    <t>Goal-setting, direction-setting, and strategy formulation</t>
  </si>
  <si>
    <t>상품전략 심사</t>
  </si>
  <si>
    <t>Examining and developing product strategy</t>
  </si>
  <si>
    <t>Team requests &amp; Value creation</t>
  </si>
  <si>
    <t>Generating value propositions in response to team requests</t>
  </si>
  <si>
    <t>Image Generation</t>
  </si>
  <si>
    <t>Generating images for design purposes</t>
  </si>
  <si>
    <t>Visual &amp; Design Asset Generation</t>
  </si>
  <si>
    <t>Image and templates generation,</t>
  </si>
  <si>
    <t>Generating visual images and reusable design templates</t>
  </si>
  <si>
    <t>Image and templates
generation</t>
  </si>
  <si>
    <t>이미지 생성</t>
  </si>
  <si>
    <t>Image generation</t>
  </si>
  <si>
    <t>3D 이미지 생성</t>
  </si>
  <si>
    <t>3D image generation</t>
  </si>
  <si>
    <t>저작권 상관없이 세부 이미지 생성</t>
  </si>
  <si>
    <t>Generating detailed images free of copyright constraints</t>
  </si>
  <si>
    <t>Making rendering</t>
  </si>
  <si>
    <t>Creating rendered visualisations of design concepts</t>
  </si>
  <si>
    <t>컨셉 시각화</t>
  </si>
  <si>
    <t>Visualising design concepts</t>
  </si>
  <si>
    <t>mid-fidelity visualistion</t>
  </si>
  <si>
    <t>Producing mid-fidelity visual representations</t>
  </si>
  <si>
    <t>Visualising early ideas</t>
  </si>
  <si>
    <t>Quick visual externalisation of early-stage ideas</t>
  </si>
  <si>
    <t>컨셉 목업, 인테리어
배치도</t>
  </si>
  <si>
    <t>Concept mockups and interior layout plans</t>
  </si>
  <si>
    <t xml:space="preserve">컨셉 Draft 유사사례 모델링 </t>
  </si>
  <si>
    <t>Modelling concept drafts using analogous cases</t>
  </si>
  <si>
    <t>이해를 돕기위한 사례 이미지
생성</t>
  </si>
  <si>
    <t>Generating illustrative case images to aid stakeholder understanding</t>
  </si>
  <si>
    <t>이미지 시각화, 디자인 편집,
보고서 작성</t>
  </si>
  <si>
    <t>Image visualisation, design editing, and report writing</t>
  </si>
  <si>
    <t>사내 이벤트용 엽서
이미지 제작</t>
  </si>
  <si>
    <t>Creating postcard images for internal company events</t>
  </si>
  <si>
    <t>포스터 홍보물 제작</t>
  </si>
  <si>
    <t>Creating promotional posters</t>
  </si>
  <si>
    <t>Design iterations, Image
generation</t>
  </si>
  <si>
    <t>Iterating design variations and generating images</t>
  </si>
  <si>
    <t>Image manipulation</t>
  </si>
  <si>
    <t>Manipulating existing images for design use</t>
  </si>
  <si>
    <t>rapidly generate design examples/variations based on concepts</t>
  </si>
  <si>
    <t>Rapid generation of multiple design variations from a concept</t>
  </si>
  <si>
    <t>퍼소나 이미지, 스토리보드
제작</t>
  </si>
  <si>
    <t>Creating persona images and storyboards</t>
  </si>
  <si>
    <t>보고서용 이미지 생성</t>
  </si>
  <si>
    <t>Generating images specifically for reports</t>
  </si>
  <si>
    <t>참고용 시안 초안 생성</t>
  </si>
  <si>
    <t>Generating draft design proposals for reference</t>
  </si>
  <si>
    <t>사내 그래픽 학습 및 그래픽
자산 제작</t>
  </si>
  <si>
    <t>Learning internal graphic styles and creating graphic assets</t>
  </si>
  <si>
    <t xml:space="preserve">디자인 머티리얼 생성 </t>
  </si>
  <si>
    <t>Generating design materials and visual assets</t>
  </si>
  <si>
    <t>BX나 GUI 이미지 모션 생성</t>
  </si>
  <si>
    <t>Generating brand experience and GUI motion assets</t>
  </si>
  <si>
    <t xml:space="preserve">UX 인터랙션 디자인 생성 </t>
  </si>
  <si>
    <t>Generating UX interaction design specifications and prototypes</t>
  </si>
  <si>
    <t xml:space="preserve">PDR (Product Requirements Document) 기반 와이어프레임 프로토타입 생성 및 스타일 가이드 생성 </t>
  </si>
  <si>
    <t>Generating wireframe prototypes and style guides from PRD</t>
  </si>
  <si>
    <t>디자인 초안작성</t>
  </si>
  <si>
    <t>Drafting initial design proposals</t>
  </si>
  <si>
    <t>UI Design Generation</t>
  </si>
  <si>
    <t>Generating UI design screens and components</t>
  </si>
  <si>
    <t>UI Wireframe generation</t>
  </si>
  <si>
    <t>Generating UI wireframe layouts</t>
  </si>
  <si>
    <t>developing concept designs</t>
  </si>
  <si>
    <t>Developing concept-level design proposals</t>
  </si>
  <si>
    <t>scenario creating</t>
  </si>
  <si>
    <t>Creating user or service scenarios</t>
  </si>
  <si>
    <t>Scenario &amp; Prototype Creation</t>
  </si>
  <si>
    <t>Video scenario</t>
  </si>
  <si>
    <t>Creating video-based scenario content</t>
  </si>
  <si>
    <t>서비스 시나리오 예측</t>
  </si>
  <si>
    <t>Predicting and constructing service scenarios</t>
  </si>
  <si>
    <t>서비스 시나리오 Fine tuning
Iteration originality</t>
  </si>
  <si>
    <t>Fine-tuning service scenarios through iterative originality refinement</t>
  </si>
  <si>
    <t>사용자 시나리오 영상 제작</t>
  </si>
  <si>
    <t>Producing video content depicting user scenarios</t>
  </si>
  <si>
    <t>바이브 코딩 (빠른 프로토타입)
(프로그램이 수행해야 할 작업에 대한 프롬프트에 따라 AI로 코드를 작성하는 것</t>
  </si>
  <si>
    <t>Vibe coding: rapid AI-generated code from natural language prompts for fast prototyping</t>
  </si>
  <si>
    <t>새로운 사용자대상 워크숍
시뮬레이션</t>
  </si>
  <si>
    <t>Simulating workshop experiences for new user groups</t>
  </si>
  <si>
    <t>창의적으로 퍼소나 만들기</t>
  </si>
  <si>
    <t>Creatively constructing personas beyond standard templates</t>
  </si>
  <si>
    <t>Wearing different hats
through personas</t>
  </si>
  <si>
    <t>Role-switching between different user personas to explore perspectives</t>
  </si>
  <si>
    <t>헬스케어 챗봇 서비스 디자인: 컨텐츠</t>
  </si>
  <si>
    <t>Designing healthcare chatbot service content</t>
  </si>
  <si>
    <t>Developing service solutions (Bots, CRMs)</t>
  </si>
  <si>
    <t>Developing AI-powered service solutions including bots and CRM systems</t>
  </si>
  <si>
    <t>Code generation</t>
  </si>
  <si>
    <t>Generating functional code for design or product implementation</t>
  </si>
  <si>
    <t>Technical Design &amp; Engineering Generation</t>
  </si>
  <si>
    <t>scripting, automation, agents</t>
  </si>
  <si>
    <t>Creating scripts, automated workflows, and AI agents</t>
  </si>
  <si>
    <t>SysML v2 system model generation</t>
  </si>
  <si>
    <t>Generating SysML v2 system architecture models</t>
  </si>
  <si>
    <t>Systems Architecture Development for unfamiliar systems</t>
  </si>
  <si>
    <t>Developing systems architecture for domains outside designer's expertise</t>
  </si>
  <si>
    <t>creating simulation models via language instead of design inputs</t>
  </si>
  <si>
    <t>Creating simulation models through natural language rather than manual parameter input</t>
  </si>
  <si>
    <t>Enhancement of initial design so that it would function better while getting lighter</t>
  </si>
  <si>
    <t>AI-assisted design optimisation for improved function and reduced weight</t>
  </si>
  <si>
    <t>Generate designs that include the minimum necessary components to create a software that can both pass regulatory concerns and add utilty to a clinician (software interface/back-end/deployment).</t>
  </si>
  <si>
    <t>Generating regulatory-compliant minimum viable clinical software design</t>
  </si>
  <si>
    <t>to coordinate modeling &amp; simulation and additive manufacturing</t>
  </si>
  <si>
    <t>Coordinating AI-enabled simulation and additive manufacturing workflows</t>
  </si>
  <si>
    <t>Implementing Formulas for data analytics and creating automations</t>
  </si>
  <si>
    <t>Implementing analytical formulas and automation routines</t>
  </si>
  <si>
    <t>create baseline for resin sensor</t>
  </si>
  <si>
    <t>Creating a quality-control baseline model for sensor validation</t>
  </si>
  <si>
    <t>리서치 인사이트 분석</t>
  </si>
  <si>
    <t>Analysing and synthesising research insights</t>
  </si>
  <si>
    <t>User Data Analysis &amp; Pattern Recognition</t>
  </si>
  <si>
    <t>Analysis &amp; Synthesis</t>
  </si>
  <si>
    <t>사용자 인터뷰 인사이트 도출</t>
  </si>
  <si>
    <t>Extracting insights from user interview data</t>
  </si>
  <si>
    <t>Pulling out key insights
from user interviews</t>
  </si>
  <si>
    <t>Pulling key themes and insights from user interviews</t>
  </si>
  <si>
    <t>Thematic analysis + Qualitative research</t>
  </si>
  <si>
    <t>Conducting thematic analysis on qualitative research data</t>
  </si>
  <si>
    <t>사용자 데이터 분석, 패턴 및 키워드 도출</t>
  </si>
  <si>
    <t>Analysing user data to surface patterns and keywords</t>
  </si>
  <si>
    <t>사용자 패턴 분류, UIUX 기능 분류</t>
  </si>
  <si>
    <t>Classifying user behavioural patterns and UIUX feature categories</t>
  </si>
  <si>
    <t>출처기반 패턴분류, 데이터 분류</t>
  </si>
  <si>
    <t>Source-based pattern classification and data categorisation</t>
  </si>
  <si>
    <t>데이터 패턴 분석</t>
  </si>
  <si>
    <t>Detecting and interpreting patterns in data</t>
  </si>
  <si>
    <t>User test데이터 분석</t>
  </si>
  <si>
    <t>Analysing data collected from user testing</t>
  </si>
  <si>
    <t>설문조사 결과로 통계기반
인사이트 도출</t>
  </si>
  <si>
    <t>Deriving statistically-grounded insights from survey results</t>
  </si>
  <si>
    <t>지역별 인구수 대비 병원 갯수 데이터 분석</t>
  </si>
  <si>
    <t>Analysing regional hospital density relative to population</t>
  </si>
  <si>
    <t>코드를 짜서 data 중요 변수 추출</t>
  </si>
  <si>
    <t>Writing code to extract key variables from data</t>
  </si>
  <si>
    <t>Automatically categorizing material family codes</t>
  </si>
  <si>
    <t>Automating categorisation of material classifications</t>
  </si>
  <si>
    <t>찾아본 리서치 내용 발견점 정리 요약, 및 클러스터링</t>
  </si>
  <si>
    <t>Summarising and clustering research findings</t>
  </si>
  <si>
    <t>Grouping &amp; ordering ideas (affinity mapping)</t>
  </si>
  <si>
    <t>Grouping and ordering ideas through affinity mapping</t>
  </si>
  <si>
    <t>키워드 관계 모델링</t>
  </si>
  <si>
    <t>Modelling relationships between keywords and concepts</t>
  </si>
  <si>
    <t>사용자 피드백 분석</t>
  </si>
  <si>
    <t>Analysing user feedback data</t>
  </si>
  <si>
    <t>논문 내용-인사이트 도출</t>
  </si>
  <si>
    <t>Extracting insights from academic paper content</t>
  </si>
  <si>
    <t>Development Goals (Synthesizing)</t>
  </si>
  <si>
    <t>Synthesising research findings into development goals</t>
  </si>
  <si>
    <t>Design Synthesis &amp; Framing</t>
  </si>
  <si>
    <t>analysing and visualising data insight (Persona, Customer Journey Map, Value Proposition Canvas</t>
  </si>
  <si>
    <t>Visualising analysed data as design frameworks (personas, CJMs, VPC)</t>
  </si>
  <si>
    <t>Midmap, Flowcharts,
Structuring strategy</t>
  </si>
  <si>
    <t>Structuring thinking through mind maps, flowcharts, and strategy frameworks</t>
  </si>
  <si>
    <t>심의자료 분석하여 여러 문제점
발견</t>
  </si>
  <si>
    <t>Analysing deliberation materials to identify multiple problem areas</t>
  </si>
  <si>
    <t>Understanding customer journey</t>
  </si>
  <si>
    <t>Mapping and understanding the customer journey</t>
  </si>
  <si>
    <t>Understanding target segment
profiling</t>
  </si>
  <si>
    <t>Profiling and understanding target user segments</t>
  </si>
  <si>
    <t>User research and personas generation</t>
  </si>
  <si>
    <t>Conducting user research and generating personas</t>
  </si>
  <si>
    <t>User research and
personas development</t>
  </si>
  <si>
    <t>Developing user research findings into personas</t>
  </si>
  <si>
    <t>퍼소나 제작</t>
  </si>
  <si>
    <t>Creating personas</t>
  </si>
  <si>
    <t>퍼소나 만들 때 사용자 리서치</t>
  </si>
  <si>
    <t>Conducting user research in service of persona development</t>
  </si>
  <si>
    <t>사용자 니즈 정의, 퍼소나 도출</t>
  </si>
  <si>
    <t>Defining user needs and deriving personas</t>
  </si>
  <si>
    <t>Mapping features to user personas</t>
  </si>
  <si>
    <t>Mapping product features to user persona needs</t>
  </si>
  <si>
    <t>User insight coordination</t>
  </si>
  <si>
    <t>Coordinating and synthesising user insights</t>
  </si>
  <si>
    <t>Review process map (UX/Flow) to identify UI element</t>
  </si>
  <si>
    <t>Reviewing process maps to identify required UI elements</t>
  </si>
  <si>
    <t>Flowcharts &amp; Pipeline design</t>
  </si>
  <si>
    <t>Designing flowcharts and process pipelines</t>
  </si>
  <si>
    <t>Hierarchy and naming etc</t>
  </si>
  <si>
    <t>Establishing naming conventions and information hierarchy</t>
  </si>
  <si>
    <t>UI 네이밍 컨벤션 작성 (UI구성
요소나 이름 지을 때 일관되게
적용하는 규칙 또는 관례)</t>
  </si>
  <si>
    <t>Writing UI naming conventions for consistent component labelling</t>
  </si>
  <si>
    <t>사용성 예측, 사용자 행위 예측</t>
  </si>
  <si>
    <t>Predicting usability outcomes and user behaviours</t>
  </si>
  <si>
    <t>Prediction &amp; Forecasting</t>
  </si>
  <si>
    <t>AI 유저 페르소나로 실제 고객이 이해하지 못하는 것 예측</t>
  </si>
  <si>
    <t>Predicting what real customers fail to understand using AI user personas</t>
  </si>
  <si>
    <t>Predicting what might go
wrong at a user interaction
level</t>
  </si>
  <si>
    <t>Forecasting potential interaction failures before user testing</t>
  </si>
  <si>
    <t>Predict and forecast the output quality</t>
  </si>
  <si>
    <t>Predicting and forecasting the quality of design outputs</t>
  </si>
  <si>
    <t xml:space="preserve">타겟 유저의 선호도 예측 </t>
  </si>
  <si>
    <t>Predicting target user preferences</t>
  </si>
  <si>
    <t xml:space="preserve">사용자 패턴 예측 및 정책 리스크 예측 </t>
  </si>
  <si>
    <t>Predicting user patterns and policy risks</t>
  </si>
  <si>
    <t>산출물에 대한 예상 결과 예측</t>
  </si>
  <si>
    <t>Predicting expected outcomes of design outputs</t>
  </si>
  <si>
    <t>결론 도출 확정
AI 결과 예측</t>
  </si>
  <si>
    <t>Finalising conclusions and predicting AI output results</t>
  </si>
  <si>
    <t>서비스 외부요소 예측</t>
  </si>
  <si>
    <t>Predicting external service environment factors</t>
  </si>
  <si>
    <t xml:space="preserve">AI 기반 서비스 기획시 LLM 결과물 예측 </t>
  </si>
  <si>
    <t>Predicting LLM outputs when planning AI-based services</t>
  </si>
  <si>
    <t>Quick estimates of design parameters that might satisfy constraints</t>
  </si>
  <si>
    <t>Generating quick parametric estimates to assess constraint feasibility</t>
  </si>
  <si>
    <t>제품 컨셉 예측</t>
  </si>
  <si>
    <t>Predicting viable product concepts</t>
  </si>
  <si>
    <t>Design research evaluation</t>
  </si>
  <si>
    <t>Evaluating the quality and relevance of design research</t>
  </si>
  <si>
    <t>Design Critique &amp; Feasibility Assessment</t>
  </si>
  <si>
    <t>Validation &amp; Evaluation</t>
  </si>
  <si>
    <t>Checking if the problem was correctly framed in the solution</t>
  </si>
  <si>
    <t>Checking for problem-solution alignment and framing accuracy</t>
  </si>
  <si>
    <t>Product/Service idea validation</t>
  </si>
  <si>
    <t>Validating product or service ideas before committing to development</t>
  </si>
  <si>
    <t>UX Idea Validation, Solution implemntation</t>
  </si>
  <si>
    <t>Validating UX ideas and planning solution implementation</t>
  </si>
  <si>
    <t>New Validation</t>
  </si>
  <si>
    <t>Validating novel design proposals</t>
  </si>
  <si>
    <t>Idea Validation Conffidence</t>
  </si>
  <si>
    <t>Increasing confidence in idea validation through AI-assisted checking</t>
  </si>
  <si>
    <t>finding out if the design can be attractive to potential users</t>
  </si>
  <si>
    <t>Assessing potential user desirability of a design concept</t>
  </si>
  <si>
    <t>evaluate and prioritize design implementation based on feasibility</t>
  </si>
  <si>
    <t>Evaluating and prioritising implementation options by feasibility</t>
  </si>
  <si>
    <t>Detailed concept analysis, understanding and evaluation</t>
  </si>
  <si>
    <t>In-depth analysis and evaluation of design concepts</t>
  </si>
  <si>
    <t>계획서 검증, 디자인 유사사례
검증</t>
  </si>
  <si>
    <t>Verifying design plans and validating against analogous cases</t>
  </si>
  <si>
    <t>기획안 시나리오 검증</t>
  </si>
  <si>
    <t>Verifying planning scenarios</t>
  </si>
  <si>
    <t>물리적 버튼과 디지털 버튼의
연동 검증</t>
  </si>
  <si>
    <t>Verifying the integration between physical and digital button interactions</t>
  </si>
  <si>
    <t>assessing our existing tools &amp; guidance and suggest how it can be improved</t>
  </si>
  <si>
    <t>Assessing existing tools and guidance for improvement opportunities</t>
  </si>
  <si>
    <t>assess design/prototypes and offer user feedback</t>
  </si>
  <si>
    <t>AI-mediated assessment of design prototypes with simulated user feedback</t>
  </si>
  <si>
    <t>Process evaluation</t>
  </si>
  <si>
    <t>Evaluating the design process itself for quality and effectiveness</t>
  </si>
  <si>
    <t>Testing &amp; Quality Assurance</t>
  </si>
  <si>
    <t>Maintaining and updating APP
relevant Quality Assurance</t>
  </si>
  <si>
    <t>Maintaining and updating quality assurance processes for app products</t>
  </si>
  <si>
    <t>AB test (UI 배치 및 정보량 차이
테스트)</t>
  </si>
  <si>
    <t>A/B testing UI layout and information density variations</t>
  </si>
  <si>
    <t xml:space="preserve">디자인 시안 평가 (A/B) </t>
  </si>
  <si>
    <t>A/B evaluation of design proposals</t>
  </si>
  <si>
    <t>Simplifying tradeoffs
between design A/B</t>
  </si>
  <si>
    <t>Simplifying the analysis of trade-offs between design alternatives</t>
  </si>
  <si>
    <t xml:space="preserve">디자인 시안 별 장단점 분석 비교, 개선방향 제안받기 </t>
  </si>
  <si>
    <t>Comparative analysis of design proposal strengths/weaknesses with AI improvement suggestions</t>
  </si>
  <si>
    <t>Scoring effort vs value</t>
  </si>
  <si>
    <t>Scoring design options against effort-to-value ratio</t>
  </si>
  <si>
    <t>Prompting questions for test reports</t>
  </si>
  <si>
    <t>Generating prompting questions to structure test reporting</t>
  </si>
  <si>
    <t>프롬트 creation for in depth QA</t>
  </si>
  <si>
    <t>Creating structured prompts for in-depth quality assurance</t>
  </si>
  <si>
    <t>Prompt questions to answer requirements and constraints regarding projects</t>
  </si>
  <si>
    <t>Using AI to prompt requirement and constraint clarification questions</t>
  </si>
  <si>
    <t xml:space="preserve">UT 검증 목표에 따른 검증 항목 선별 (작성 못함) </t>
  </si>
  <si>
    <t>Selecting validation items aligned with user testing objectives</t>
  </si>
  <si>
    <t>Accessibility Assessment</t>
  </si>
  <si>
    <t>Assessing design for accessibility compliance</t>
  </si>
  <si>
    <t>디자이너의 UX 롸이팅이
회사 가이드 부합하는지
검증</t>
  </si>
  <si>
    <t>Verifying that UX writing aligns with company guidelines</t>
  </si>
  <si>
    <t>UX writing 검증. Product 별 규칙
적용 (특히 다국어 사용 시)</t>
  </si>
  <si>
    <t>Validating UX writing consistency across product-specific rules, especially multilingual</t>
  </si>
  <si>
    <t xml:space="preserve">빠진 UIUX 사용자 시나리오 검토 </t>
  </si>
  <si>
    <t>Reviewing for missing UIUX user scenarios</t>
  </si>
  <si>
    <t>Prioritizing which projects to tackle first</t>
  </si>
  <si>
    <t>Prioritising projects using AI-assisted criteria evaluation</t>
  </si>
  <si>
    <t>Criteria-Based Evaluation &amp; Decision Support</t>
  </si>
  <si>
    <t>기준을 학습시키고 평가,
우선순위 추천</t>
  </si>
  <si>
    <t>Training AI on evaluation criteria and receiving priority recommendations</t>
  </si>
  <si>
    <t>make decisions by eliminations</t>
  </si>
  <si>
    <t>Using elimination-based decision-making to narrow design options</t>
  </si>
  <si>
    <t>지자체 디자인, 경관 심의자를
평가, 결과 정리</t>
  </si>
  <si>
    <t>Evaluating local government design and landscape review outputs</t>
  </si>
  <si>
    <t>심사평가 시뮬레이션 결과
반영</t>
  </si>
  <si>
    <t>Incorporating evaluation simulation results into design decisions</t>
  </si>
  <si>
    <t>자체평가</t>
  </si>
  <si>
    <t>Self-evaluation of design work using AI-assisted criteria</t>
  </si>
  <si>
    <t>UX Customer Journey Priority
Tracking. Tracking Context (Validation)</t>
  </si>
  <si>
    <t>Tracking priority and context changes across the customer journey for validation</t>
  </si>
  <si>
    <t>Validating and Identifying keywords</t>
  </si>
  <si>
    <t>Validating and identifying relevant keywords for design work</t>
  </si>
  <si>
    <t>requirement drafting &amp; requirement language reviews</t>
  </si>
  <si>
    <t>Drafting requirements and reviewing their language quality</t>
  </si>
  <si>
    <t>프로젝트 우선순위 정리</t>
  </si>
  <si>
    <t>Organising and prioritising project tasks</t>
  </si>
  <si>
    <t>프로젝트 플래닝, 제품 개발
로드맵</t>
  </si>
  <si>
    <t>Project planning and product development roadmap creation</t>
  </si>
  <si>
    <t>Project Planning &amp; Workflow Management</t>
  </si>
  <si>
    <t>Planning, Coordination &amp; Management</t>
  </si>
  <si>
    <t>Project management</t>
  </si>
  <si>
    <t>General project management support</t>
  </si>
  <si>
    <t>Manages timelines,deadlines, regulatory goals</t>
  </si>
  <si>
    <t>Managing project timelines, deadlines, and regulatory milestones</t>
  </si>
  <si>
    <t>break up goals into tasks across a given time frame</t>
  </si>
  <si>
    <t>Breaking down goals into time-bound tasks</t>
  </si>
  <si>
    <t>Generating outline action plans</t>
  </si>
  <si>
    <t>Generating high-level action plans from goals</t>
  </si>
  <si>
    <t>Process flow</t>
  </si>
  <si>
    <t>Designing and mapping process flows</t>
  </si>
  <si>
    <t>coordinate workflows</t>
  </si>
  <si>
    <t>Coordinating multi-step and cross-team workflows</t>
  </si>
  <si>
    <t>가설수립, 고객 검증 질문 draft</t>
  </si>
  <si>
    <t>Establishing hypotheses and drafting customer validation questions</t>
  </si>
  <si>
    <t>스케쥴링, 로케이션 서칭</t>
  </si>
  <si>
    <t>Scheduling and location search for design activities</t>
  </si>
  <si>
    <t>개발 공수 산정 및 일정 산정</t>
  </si>
  <si>
    <t>Estimating development effort and scheduling</t>
  </si>
  <si>
    <t>업무 배정</t>
  </si>
  <si>
    <t>Task assignment and workload distribution</t>
  </si>
  <si>
    <t>팀과제 관리 (협업)</t>
  </si>
  <si>
    <t>Managing team tasks and collaborative work</t>
  </si>
  <si>
    <t>지속적 데이터 주입을 통한
동료/팀원으로 프로젝트
조언받음</t>
  </si>
  <si>
    <t>Continuous data injection to receive AI project advice as a team colleague</t>
  </si>
  <si>
    <t>Designing UX
options and process flow</t>
  </si>
  <si>
    <t>Designing UX options and mapping process flows</t>
  </si>
  <si>
    <t>Documentation of product
speciffication, value proposition</t>
  </si>
  <si>
    <t>Documenting product specifications and value propositions</t>
  </si>
  <si>
    <t>Content Writing &amp; Documentation</t>
  </si>
  <si>
    <t>Documentation &amp; Communication</t>
  </si>
  <si>
    <t>디자인 문서 작성</t>
  </si>
  <si>
    <t>Writing design documentation</t>
  </si>
  <si>
    <t>Documentation</t>
  </si>
  <si>
    <t>General documentation creation</t>
  </si>
  <si>
    <t>데이터 베이스화 기록 및 정리</t>
  </si>
  <si>
    <t>Recording and organising information into databases</t>
  </si>
  <si>
    <t>보고서 문서 정리</t>
  </si>
  <si>
    <t>Organising and formatting report documents</t>
  </si>
  <si>
    <t>내부 보고용 적절한 도식화</t>
  </si>
  <si>
    <t>Creating appropriate diagrams for internal reporting</t>
  </si>
  <si>
    <t>Content Development</t>
  </si>
  <si>
    <t>Developing content for design deliverables</t>
  </si>
  <si>
    <t>Content generation</t>
  </si>
  <si>
    <t>Generating textual or visual content</t>
  </si>
  <si>
    <t>컨텐츠 및 UX 작성</t>
  </si>
  <si>
    <t>Writing content and UX copy</t>
  </si>
  <si>
    <t>UI/UX design elements</t>
  </si>
  <si>
    <t>Defining and documenting UI/UX design elements</t>
  </si>
  <si>
    <t xml:space="preserve">UI 페이지별 구성 및 문구 작성 </t>
  </si>
  <si>
    <t>Writing page-specific UI structure and copy</t>
  </si>
  <si>
    <t>Creating blog contents</t>
  </si>
  <si>
    <t>Creating blog content for communication or documentation purposes</t>
  </si>
  <si>
    <t>어린이 건축학교 리포트
공동 작성</t>
  </si>
  <si>
    <t>Co-authoring a children's architecture school report with AI</t>
  </si>
  <si>
    <t xml:space="preserve">문서 작성 시 문구 번역이나 맞춤법 검증 </t>
  </si>
  <si>
    <t>Translation and spell-checking during document writing</t>
  </si>
  <si>
    <t>Organisation and
template guidance</t>
  </si>
  <si>
    <t>Providing organisational structure and template guidance</t>
  </si>
  <si>
    <t>meeting minutes, etc</t>
  </si>
  <si>
    <t>Recording and formatting meeting minutes</t>
  </si>
  <si>
    <t>Meeting Facilitation &amp; Communication Support</t>
  </si>
  <si>
    <t>회의록 정리</t>
  </si>
  <si>
    <t>Organising meeting minutes</t>
  </si>
  <si>
    <t>회의록 기록. 요약</t>
  </si>
  <si>
    <t>Recording and summarising meeting minutes</t>
  </si>
  <si>
    <t xml:space="preserve">회의록 요약 및 정리, 문서 관리 </t>
  </si>
  <si>
    <t>Summarising and organising meeting minutes and document management</t>
  </si>
  <si>
    <t>Transcription, Summary</t>
  </si>
  <si>
    <t>Transcribing and summarising spoken or written content</t>
  </si>
  <si>
    <t>협업 소통 원활</t>
  </si>
  <si>
    <t>Facilitating smooth communication and collaboration</t>
  </si>
  <si>
    <t xml:space="preserve">타부서 데이터 검색 </t>
  </si>
  <si>
    <t>Searching for data from other departments</t>
  </si>
  <si>
    <t>Designing presentation decks and graphs</t>
  </si>
  <si>
    <t>Designing presentation decks and data visualisation graphs</t>
  </si>
  <si>
    <t>Presentation &amp; Visual Reporting</t>
  </si>
  <si>
    <t>프레젠테이션 제작</t>
  </si>
  <si>
    <t>Creating presentations</t>
  </si>
  <si>
    <t>파워포인트 슬라이드 시각화</t>
  </si>
  <si>
    <t>Visualising content as PowerPoint slides</t>
  </si>
  <si>
    <t>광고영상 제작</t>
  </si>
  <si>
    <t>Creating advertising video content</t>
  </si>
  <si>
    <t>설문지 작성 및 체크리스트 작성</t>
  </si>
  <si>
    <t>Writing survey instruments and checklists</t>
  </si>
  <si>
    <t>사용자 테스트 주의사항 및
서약서 작성</t>
  </si>
  <si>
    <t>Writing user test guidelines and participant consent forms</t>
  </si>
  <si>
    <t>AGGREGATED DIMENSIONS (optional)</t>
  </si>
  <si>
    <t>2nd cats: Domain &amp; Technical Knowledge Gathering | Trend &amp; Market Intelligence | User Research &amp; Insight Collection</t>
  </si>
  <si>
    <t>2nd cats: Concept &amp; Idea Development | Visual &amp; Design Asset Generation | Scenario &amp; Prototype Creation | Technical Design &amp; Engineering Generation</t>
  </si>
  <si>
    <t>2nd cats: User Data Analysis &amp; Pattern Recognition | Design Synthesis &amp; Framing | Prediction &amp; Forecasting</t>
  </si>
  <si>
    <t>2nd cats: Design Critique &amp; Feasibility Assessment | Testing &amp; Quality Assurance | Criteria-Based Evaluation &amp; Decision Support</t>
  </si>
  <si>
    <t>COLUMN GUIDE</t>
  </si>
  <si>
    <t>Verbatim text from source data (Korean and English preserved)</t>
  </si>
  <si>
    <t>A descriptive label close to participant/practitioner language</t>
  </si>
  <si>
    <t>Interpretive grouping of 1st order codes into conceptual themes</t>
  </si>
  <si>
    <t>Overarching theoretical dimension (6 total)</t>
  </si>
  <si>
    <t>Workshop Cohort</t>
  </si>
  <si>
    <t>Design disciplines</t>
  </si>
  <si>
    <t>Design Phases</t>
  </si>
  <si>
    <t>AI assistance type</t>
  </si>
  <si>
    <t>Design practice</t>
  </si>
  <si>
    <t>2nd order categories</t>
  </si>
  <si>
    <t>Aggregated dimensions</t>
  </si>
  <si>
    <t>AI tool 1</t>
  </si>
  <si>
    <t>AI tool 2</t>
  </si>
  <si>
    <t>AI tool 3</t>
  </si>
  <si>
    <t>AI tool 4</t>
  </si>
  <si>
    <t>Enhanced V 1</t>
  </si>
  <si>
    <t>Enhanced V 2</t>
  </si>
  <si>
    <t>Impaired V 1</t>
  </si>
  <si>
    <t>Impaired V 2</t>
  </si>
  <si>
    <t>Mitigation</t>
  </si>
  <si>
    <t>KIDP</t>
  </si>
  <si>
    <t>Product Engineering</t>
  </si>
  <si>
    <t>Discover</t>
  </si>
  <si>
    <t>Co-ordination</t>
  </si>
  <si>
    <t>ChatGPT</t>
  </si>
  <si>
    <t>Efficiency</t>
  </si>
  <si>
    <t>TIC</t>
  </si>
  <si>
    <t>Learning</t>
  </si>
  <si>
    <t>UT</t>
  </si>
  <si>
    <t>Copilot</t>
  </si>
  <si>
    <t>MS Teams</t>
  </si>
  <si>
    <t>Collaboration</t>
  </si>
  <si>
    <t>User-centeredness</t>
  </si>
  <si>
    <t>AI-Literacy (Trust)</t>
  </si>
  <si>
    <t>Context Appropriateness</t>
  </si>
  <si>
    <t>automatic record, transcribe, summarize, and document action items from Teams meetings</t>
  </si>
  <si>
    <t>Customized AI Tool</t>
  </si>
  <si>
    <t>Learning / Skills Development</t>
  </si>
  <si>
    <t>Accuracy</t>
  </si>
  <si>
    <t>The development goals we make are specific to a learning objective format. Company encourages us to use it to flesh out new goals for the year. It does save us time thinking about phrasing.</t>
  </si>
  <si>
    <t>Develop</t>
  </si>
  <si>
    <t>Deliver</t>
  </si>
  <si>
    <t>Kling</t>
  </si>
  <si>
    <t>Controllability</t>
  </si>
  <si>
    <t>아직은 동영상의 시퀀스 이미지 세부 디테일의 제어 어려움</t>
  </si>
  <si>
    <t>Claude</t>
  </si>
  <si>
    <t>Scalability</t>
  </si>
  <si>
    <t>Hinder accuracy: AI is less familiar with code context &amp; upcoming changes or shifts in the pipeline
1) Augment AI to review potential updates and relevant materials.</t>
  </si>
  <si>
    <t>Creativity</t>
  </si>
  <si>
    <t>Monday.com</t>
  </si>
  <si>
    <t>the 'technology' delivery is mainly restricted to FDA standards/submission.</t>
  </si>
  <si>
    <t>Define</t>
  </si>
  <si>
    <t>Human-cnetredness</t>
  </si>
  <si>
    <t>It helps in providing personalised learning &amp; very efficient</t>
  </si>
  <si>
    <t>Decision making</t>
  </si>
  <si>
    <t>Gemini</t>
  </si>
  <si>
    <t>Design Systems Documentation</t>
  </si>
  <si>
    <t>Create a software and workflow that a clinican will use and not hate, lock design.</t>
  </si>
  <si>
    <t>estimate the cost effect of different categories within standards</t>
  </si>
  <si>
    <t>Feasibility</t>
  </si>
  <si>
    <t>AI's tendency to give you an answer regardless of its knowledge gives pause to trusting the answer with respect to cost impact. However, trusting humans available to immediately consult also has the same problem and could be much less informed.</t>
  </si>
  <si>
    <t>판단의 영역 제한으로 신뢰성 저하</t>
  </si>
  <si>
    <t>Skills Development</t>
  </si>
  <si>
    <t>Detailed explanations of response</t>
  </si>
  <si>
    <t>Empathy</t>
  </si>
  <si>
    <t>Context awareness</t>
  </si>
  <si>
    <t>Compare with alternative ML based clustering Approach</t>
  </si>
  <si>
    <t>I like how it asks me questions about my priorities, but the results aren't great most of the time. When I actually read the text I go ??? What does this mean? </t>
  </si>
  <si>
    <t>Design generation</t>
  </si>
  <si>
    <t>Midjourney</t>
  </si>
  <si>
    <t>Vizcom</t>
  </si>
  <si>
    <t>자기 주도성 떨어짐. 정성적 판단
회피하고 디자이너가 AI에 의존적이
됨. 시장 표준의 천편일률적인 Fidelity
1) 다양한 시나리오와 시각화 확대</t>
  </si>
  <si>
    <t>현실성이 결여된 디자인 아웃풋
(가구설계, CMF 등).
엔지니어링디자인  sibility tool 존재?</t>
  </si>
  <si>
    <t>Hinder Feasibility: Images are not
helpful or may be confusing/distracting.
1) Provide more context.
2) Choose a suitable system/solution and give feedback.</t>
  </si>
  <si>
    <t>Canva</t>
  </si>
  <si>
    <t>Dall-E</t>
  </si>
  <si>
    <t>Grok</t>
  </si>
  <si>
    <t>BARD</t>
  </si>
  <si>
    <t>Authenticity</t>
  </si>
  <si>
    <t>You can build high quality images</t>
  </si>
  <si>
    <t>Learning / Skills Development: Canva AI does almost all the design and technical work.
1) Ask AI what the process typically is, &amp; to provide instructions to follow.</t>
  </si>
  <si>
    <t>Autodesk Inventor (Topology)</t>
  </si>
  <si>
    <t>Affordability</t>
  </si>
  <si>
    <t>LLMs</t>
  </si>
  <si>
    <t>Software capabilities vs. constrains from FDA</t>
  </si>
  <si>
    <t>Knowledge augmentation</t>
  </si>
  <si>
    <t>Upcodes</t>
  </si>
  <si>
    <t>Codes for commercial building sector across different design disciplines are vast and complex, and get updated every few years. AI makes it faster to keep track of changes and reference code sections.</t>
  </si>
  <si>
    <t>Learning (Gaining insigts)</t>
  </si>
  <si>
    <t>정보의 진위 여부: 왜곡된 정보
오염된 사고 과정, 편향 등 잘못된 표본의
적층으로 Good design의 스탠다드 왜곡
1) 가이드가 명확해야 함</t>
  </si>
  <si>
    <t>Perplexity</t>
  </si>
  <si>
    <t>Well defined prompts : Expectation list</t>
  </si>
  <si>
    <t>Google Co-scientist</t>
  </si>
  <si>
    <t>don't reinvent the wheel, see where others have failed, is the idea worth pursuing</t>
  </si>
  <si>
    <t>Improves my ability to do high-level surveys of sources of information</t>
  </si>
  <si>
    <t>Codes and standards are numerous across any field. Frequently the C&amp;S themselves do not provide rationale as to why the rule exists. This background knowledge is helpful when pursuing new technologies which do not fit the standard.</t>
  </si>
  <si>
    <t>I ask Chat GPT to ask me questions and I answer those questions to help figure out what requirements and constraints I need</t>
  </si>
  <si>
    <t>Used ISO standard in previous company that required lengthy requirement writing. Used AI to create pattern line and action required for resolving ISO standard.</t>
  </si>
  <si>
    <t>Knowledge generation</t>
  </si>
  <si>
    <t>잘못된 정보로 쉬운 정보를 여러번
검색하게 하여 오히려 비효율적</t>
  </si>
  <si>
    <t>expand/summnarize domain expertise that doesn't belong to engineers</t>
  </si>
  <si>
    <t>Generating code for test and deployment</t>
  </si>
  <si>
    <t>Instead of multiple document that is disconnected. AI help to link all inormation in document together</t>
  </si>
  <si>
    <t>In the discussion section of the test report I would ask AI to ask me questions in an interview-style. Often times this meant looking for statistics which I would do myself. I do wish it could help generate the data that I need, but I don't trust it enough with hard data.</t>
  </si>
  <si>
    <t>Airtable</t>
  </si>
  <si>
    <t>It's really effective and fast at getting what I want made and customized. However, I don't learn from using it and sometimes it adds bloat where it's not needed.</t>
  </si>
  <si>
    <t>Python packages</t>
  </si>
  <si>
    <t>Resin sensor was sensitive to environment causing outliers within data that did not represent actual inventory; Used linear regression to create a baseline and criteria of acceptable measured values</t>
  </si>
  <si>
    <t>Empathy (Human-centredness)</t>
  </si>
  <si>
    <t>데스크 리서치는 fact 를 기반으로
진행한다고 할 수 있지만 Field research
에서 오는 사용자 피드백의 신뢰성을
줄 수 있을 지는 의문</t>
  </si>
  <si>
    <t>거짓정보 만들어냄. 할루시네이션
억지 구성-&gt; 맥락에 맞지 않는 답변
도출</t>
  </si>
  <si>
    <t>Respond to mindmap of response and ask for updated response</t>
  </si>
  <si>
    <t>Hinder creativity: A human UI/UX challenge is often best
solved through a human lens.
1) Ask for options to steer the process
and output.</t>
  </si>
  <si>
    <t>Generating POC (Proof of concept) and feasibility</t>
  </si>
  <si>
    <t>AI Western Bias on generating Personas, - limited empathy + context
1) Add more control, more context and ask for options,
2) Discuss issue, review to AI</t>
  </si>
  <si>
    <t>Figma</t>
  </si>
  <si>
    <t>X: item description; Y: product family ;code model was trained supervised training model style</t>
  </si>
  <si>
    <t>Github Copilot</t>
  </si>
  <si>
    <t>Use Github Copilot to generate Ruby and Python scripts for data analysis, model input entry, controls sequences, and automation of tasks</t>
  </si>
  <si>
    <t>Trust is relatively high because requirements reviews are </t>
  </si>
  <si>
    <t>Prediction</t>
  </si>
  <si>
    <t>what are competitors doing, what are the limitations/constrians for adoption of tech.</t>
  </si>
  <si>
    <t>SysML is a visual based language, define a ssystem in less of a document format--&gt; makes it easy to ask ChatGPT, Take text output and put it into diagram format</t>
  </si>
  <si>
    <t>Creating a path forward for technologies rooted from years of basic science research, where the opportunies are. </t>
  </si>
  <si>
    <t>Service 01</t>
  </si>
  <si>
    <t>Power Automate</t>
  </si>
  <si>
    <t>Whimsical</t>
  </si>
  <si>
    <t>Speed encourages experimentation
Democratises talent</t>
  </si>
  <si>
    <t>Slack</t>
  </si>
  <si>
    <t>The scope &amp; access to more information leads to more Challenges. Very subjective &amp; a ects di erent team members very di erently.
1) Go back to previous shares and get insights</t>
  </si>
  <si>
    <t>BDM Agents</t>
  </si>
  <si>
    <t>1) Develop user adoption strategy to get experts &amp; specialists to use AI to mitigate.</t>
  </si>
  <si>
    <t>I guess the collaboration at validation is reduced compared to the past. Reducing empathy &amp; human Centricity</t>
  </si>
  <si>
    <t>UX ideas and concepts for good ux implementation. Typically code, but in context, meeting design goals.
1) Knowledge sharing
2) Engage AI/Team as 3rd party</t>
  </si>
  <si>
    <r>
      <t xml:space="preserve">UX Customer Journey Priority
Tracking. </t>
    </r>
    <r>
      <rPr>
        <b/>
        <sz val="11"/>
        <color theme="1"/>
        <rFont val="Yu Gothic UI Regular"/>
      </rPr>
      <t>Tracking Context (Validation)</t>
    </r>
  </si>
  <si>
    <t>String</t>
  </si>
  <si>
    <t>Priority identification</t>
  </si>
  <si>
    <t>Trust</t>
  </si>
  <si>
    <t>Peer reviewing decreased</t>
  </si>
  <si>
    <t>1) Knowledge sharing across existing team
2) Have a conversation with your ideas! Challenge them, look for reasons, Why - why not? Construct risk assessment (vs. mission/goals/outcome)</t>
  </si>
  <si>
    <t>CX agents</t>
  </si>
  <si>
    <t>Give enough info to make the right decisions</t>
  </si>
  <si>
    <t>Deepseek</t>
  </si>
  <si>
    <t>Decision making is hard because it lacks empathy and approach when it comes to decision making. There's so much time spent on providing parameters for good decision making.</t>
  </si>
  <si>
    <t>Replit AI</t>
  </si>
  <si>
    <t>For designing presentation decks &amp; graphs. It makes this process scalable but the controlability &amp; creativity is lacking. It also lacks human way of visual presentation</t>
  </si>
  <si>
    <t>Conversations with real users/customers
missed - key for empathy development.
1) Always validate with real people,
Verify human elements + risk
2) Dont rely exclusively on synthetic data</t>
  </si>
  <si>
    <t>Ethnographic research on users: User needs, problem de nitions, experience assumption</t>
  </si>
  <si>
    <t>Learn less from Osmosis. Lack of immersion.</t>
  </si>
  <si>
    <t>Lacks context and accuracy. there is a need
to provide context with prompts to get the
output you find satisfactory
1) User education on prompting AI models</t>
  </si>
  <si>
    <t>NotebookLM</t>
  </si>
  <si>
    <t>Validate AI-generated insights</t>
  </si>
  <si>
    <t>The quality and depth of the content has been considerably enhanced.</t>
  </si>
  <si>
    <t>Speed to insight</t>
  </si>
  <si>
    <t>Data analysis</t>
  </si>
  <si>
    <t>Market research, persona, feedback, insights, etc. At scale.. digest and interrogate with natural language. Document &amp; share</t>
  </si>
  <si>
    <t>1) De ning job roles and rules for AI will help mitigate imparements</t>
  </si>
  <si>
    <t>Speed of the knowledge generation and providing the relevant insights ahead of time</t>
  </si>
  <si>
    <t>Filling in gaps of knowledge
(80% Context -&gt; 100% understanding)</t>
  </si>
  <si>
    <t>AI impairs the quality of outputs as its inputs capped- the output is not entirely reliable. AI shoud represent me accurately to prevent low quality in output.
Outcome driven technology and frontend environments Niche down to make customer relevant tools and use case</t>
  </si>
  <si>
    <t>Low accuracy due to limited
understanding about innovation
1) Context Engineering</t>
  </si>
  <si>
    <t>Service 02</t>
  </si>
  <si>
    <t>Gamma</t>
  </si>
  <si>
    <t>Notion</t>
  </si>
  <si>
    <t>동료와 스킨쉽 저하로인한 정적 공감
떨어짐</t>
  </si>
  <si>
    <t>AI가 디자인의 실제 Outcome을 만들어내다 보니 인간 Designer의 논리적 설명력 (Design rationale)이 약해짐</t>
  </si>
  <si>
    <t>UX Pilot</t>
  </si>
  <si>
    <t>Stitch</t>
  </si>
  <si>
    <t>AI가 큰 틀에서의 Outcome은 매우
빠르고 효율적으로 내놓지만, 디테일
작업 (예: GUI 요소 label 변경과 같은
Micro interaction)에서는 인간이
세세하게 통제하기 어려움</t>
  </si>
  <si>
    <t>양적으로 늘어났지만 정확성에 대한
의문이 듦</t>
  </si>
  <si>
    <t>논문리뷰 혹은 데이터 분석 과정에서 분석
혹은 지식학습과정이 스타카토식
(선별식)으로 얻어가는 (학습하는) 느낌이
든다. 물론 효율성과 시간단축들의 효과는
보지만, 학습효과에서는 양날의 검인 것
같음</t>
  </si>
  <si>
    <t>이해관계자 간의 교류를 통한 상호
공감, 산출물에 대한 Ownership &amp;
responsibility 가 떨어지는 문제</t>
  </si>
  <si>
    <t>Cursor</t>
  </si>
  <si>
    <t>초기에는 많은 아이디어를 볼 수 있어서 발상에 도움이 되나, 이후에는 디자이너가 발상을 하지 않고 두려워하거나 귀찮아 하여 AI에게 완전히 맟겨버리게 됨.</t>
  </si>
  <si>
    <t>Service 03</t>
  </si>
  <si>
    <t>당뇨측정앱의 UI/UX 화면 디자인을
제안할 때, 사람의 반응이 아니기에
공감 부분에 대한 부분이 작의적이고,
현장 목소리가 빠져있기 때문에
현실과 동떨어진 제안으로 한정됨</t>
  </si>
  <si>
    <t>All AI tools</t>
  </si>
  <si>
    <t>소통의 부재</t>
  </si>
  <si>
    <t>스스로 학습하는 기회를 놓친다. 학습의지가 떨어짐</t>
  </si>
  <si>
    <t>ClovaNote</t>
  </si>
  <si>
    <t xml:space="preserve">비밀유지 문제 (Real world alignment / AI-alignment)
                                                                                                                                                                                                                                                 </t>
  </si>
  <si>
    <t>Context Awareness</t>
  </si>
  <si>
    <t>헬스케어 챗봇을 디자인하는데 현실을 반영하지 못한 지식적인 정보만 답하는 AI-alignment의 실패</t>
  </si>
  <si>
    <t>뻔한 결과가 매번 나올 수 있음.
맞춤형 결과가 아닌
천편일률적인 결과가 나올 수
있음</t>
  </si>
  <si>
    <t>AI 가 주는 결과로 인해 사람들이
도출한 결과를 의심하고
혼란스러워하는 경향이 커짐</t>
  </si>
  <si>
    <t>Service 04</t>
  </si>
  <si>
    <t>습득의 기회과정에서 발전시켜볼
기회가 없고, 따라서 실패의 기회가
없어 배움이 없음</t>
  </si>
  <si>
    <t>Python</t>
  </si>
  <si>
    <t>Skills development</t>
  </si>
  <si>
    <t>Sora</t>
  </si>
  <si>
    <t>AI 가 찾아주는 이미지, 정보를
넘어서지 못하는 창의성 저해</t>
  </si>
  <si>
    <t>너무 많은 정보를 찾아줘서 오히려
비효율적임.</t>
  </si>
  <si>
    <t>계획된 정보만 보게 되어서 날 것
그대로 제공된 데이터를보지 않음</t>
  </si>
  <si>
    <t>데이터기반 업무시 이전에는 데이터 사이언티스트가 해줄때까지 기다려야했으나 지금은 GPT 로 키워드 뽑아주므로 기다리지 않고 기획단계부터 시작 가능</t>
  </si>
  <si>
    <t>과정맥락이 파악되지 않아서 controllability 가 떨어짐</t>
  </si>
  <si>
    <t>Intuition</t>
  </si>
  <si>
    <r>
      <t>요약 정리는 잘해주지만, 날카로운
핵심은 AII 가 잘 모름</t>
    </r>
    <r>
      <rPr>
        <sz val="11"/>
        <color rgb="FFC00000"/>
        <rFont val="Yu Gothic UI Regular"/>
      </rPr>
      <t>. Empathy</t>
    </r>
    <r>
      <rPr>
        <sz val="11"/>
        <color theme="1"/>
        <rFont val="Yu Gothic UI Regular"/>
      </rPr>
      <t xml:space="preserve">
관점에서 요약/ 정리를 해주는지에
대한 의문</t>
    </r>
  </si>
  <si>
    <t>Feasibiltiy</t>
  </si>
  <si>
    <t>ML</t>
  </si>
  <si>
    <t>결과물의 ‘과정 맥락’을 파악하기
어렵고 그래서 통제하기 어려움</t>
  </si>
  <si>
    <t>Service_Public</t>
  </si>
  <si>
    <t>Clova</t>
  </si>
  <si>
    <t>요약본을 보면 원문의 미묘한
뉘앙스를 캐치하기 어려움</t>
  </si>
  <si>
    <t>Miro</t>
  </si>
  <si>
    <t>기준 및 우수사례 학습 통한
공통된 요인 도출</t>
  </si>
  <si>
    <t>누가봐도 AI 가 만든 이미지라고
느껴지는 ppt나 프로젝트에
대한 신뢰도가 떨어지는 느낌</t>
  </si>
  <si>
    <t>아웃풋 퀄리티가 너무 높아서 계속
의존하게 됨. 그래서 디자이너로서
창의성이 떨어지는 느낌</t>
  </si>
  <si>
    <t xml:space="preserve">제한적 정보 </t>
  </si>
  <si>
    <t>AI를 활용한 리서치를 할 때 일반적인 트렌드는 효율적으로 파악할 수 있지만 독특한 니즈와 페인포인트는 알 수 없음 (의존적으로 만듬 =learning)_</t>
  </si>
  <si>
    <t>거짓정보를 제공해주어서 할루시네이션으로 인한 오류정보 안내. 정보의 정확도가 아직은 낮고 일관성 없는 답변</t>
  </si>
  <si>
    <t>Learning 저해= 의존적으로 만듬</t>
  </si>
  <si>
    <t>AI는 접근 가능한 데이터 기반으로 일반적인 답변: 사각지대 등 현장 인사이트에 한계
1) 심층 리서치 과정 필요</t>
  </si>
  <si>
    <t>통계, 수치 등 확률이나 계산에 대한
정확도가 강화됨</t>
  </si>
  <si>
    <t>가설적 사용자에 대한 조사. 분석은 진정한
사용자 공감까지 도달 어려움. 개인에게
학습된 반복되는 일률적 정보만 제공
- Controllability: 같은 상황, 같은 질문에
다른 대답</t>
  </si>
  <si>
    <t>컨설팅 대신 팀의 데이터를
지속적으로 주입하고 공동의
컨설턴트로서 조언을 주고받음</t>
  </si>
  <si>
    <t>AI에 의존하게 되는 경우 사람들간의
도움을 주고받는 관계와 협업의
역량을 저해할 수있음</t>
  </si>
  <si>
    <t>독창적 문제점 발견 어려움</t>
  </si>
  <si>
    <t>설문조사 실수요자의 목소리를
분석함으로써 수요자 중심 접근
높아짐</t>
  </si>
  <si>
    <t>새로운 상황일 때 A안 B안
시뮬레이션을 돌리거나 변수를
예측하는 용도</t>
  </si>
  <si>
    <t>UIUX 01</t>
  </si>
  <si>
    <t>AI Studio</t>
  </si>
  <si>
    <t>1) Fact checking with multiple sources &amp; the credibility.
2) Comparing &amp; contrasting</t>
  </si>
  <si>
    <t>Watsonx</t>
  </si>
  <si>
    <t>Basecamp</t>
  </si>
  <si>
    <t>These are very useful for Project management &amp; scheduling tasks.</t>
  </si>
  <si>
    <t>Security 저해 (controllability?): 업무 공용 계정으로 사용하다보니 내가 AI를 통해 제작한 결과물이 유출될 수도.</t>
  </si>
  <si>
    <t>Confluence</t>
  </si>
  <si>
    <t>1) It's not Specific
2) Body language
3) Pain Point</t>
  </si>
  <si>
    <t>실제 유저에게 테스트라기보다
페르소나를 입힌 AI 의 대답만으로
시안을 확정할 때가 있음</t>
  </si>
  <si>
    <t>Customised AI</t>
  </si>
  <si>
    <t>사용자나 테스트 참여 대상자를
생각하며 작성하기 보다 하나의
업무로 처리하게 됨</t>
  </si>
  <si>
    <t>Grammarly</t>
  </si>
  <si>
    <t>Stress-testing design constraints at
the cost of user-specific and nuances</t>
  </si>
  <si>
    <t>서비스의 비즈니스 목표나 내부상황을
이해하지 못한 채 검증항목을 너무
보편적으로 (구체적이지 않음) 작성함.
1) 프롬프트를 잘써야함</t>
  </si>
  <si>
    <t>Lovable</t>
  </si>
  <si>
    <t>Nano banana</t>
  </si>
  <si>
    <t>Controllability 저해: 원하는 시안, 이미지, 영상들이 나올 때 까지 계속 AI를 generate 해야해서 제어 가능한 부분이 적음</t>
  </si>
  <si>
    <t>Toast</t>
  </si>
  <si>
    <t>Firefly</t>
  </si>
  <si>
    <t>AI 사용에 익숙해져서 새로운 지식,
기술습득에 노력하지 않게 됨</t>
  </si>
  <si>
    <t>Adobe</t>
  </si>
  <si>
    <t>DallE</t>
  </si>
  <si>
    <t>You can build high quality images.</t>
  </si>
  <si>
    <t>CAD copilots</t>
  </si>
  <si>
    <t>Runway</t>
  </si>
  <si>
    <t>Figma Make</t>
  </si>
  <si>
    <t>provide overly detailed, specific prompts to ensure there's enough context (for Imp. V1)</t>
  </si>
  <si>
    <t>Quick access to good insight, but you lose the human touch, &amp; lose user-specific detail
1) Do Pre Research
2) Surveys, on-field Research</t>
  </si>
  <si>
    <t>Speeds up the research Process &amp; narrows
the Process faster.
1) Combination of Prompt Engineering
+ fact checking + Base knowledge</t>
  </si>
  <si>
    <t>saves time on looking for users for user testing/feedback</t>
  </si>
  <si>
    <t>AI에 대한 의존성을 키우고 인간 스스로
학습활동을 하지 않게 만드는 것 같음.
- Hallucination 우려 및 출처 불분명
이슈</t>
  </si>
  <si>
    <t>1) True depiction, then testing, survey validating in-person</t>
  </si>
  <si>
    <t>Apple intelligence</t>
  </si>
  <si>
    <t>Foot list of design option at the start of
specific use-cases and context.</t>
  </si>
  <si>
    <t>It's great for building mindmaps &amp; structuring strategies</t>
  </si>
  <si>
    <t>Trust (정확도) 저해: 데이터 분석 결과를
무조건적으로 신뢰하기 어려움. 간혹 업무가 많을 시 AI 결과에 의존하여 검토하지않을 때
같은 데이터라도 분석하고, 보는 사람의 관점에 따라서 인사이트가 달라지는데, AI를 통해 인사이트를 뽑게되면 새로운 게 아닌 보편적인 인사이트만 나오게 됨. AI 의 의존성이 올라가면 회사의 비전과 멀어질 수 있음</t>
  </si>
  <si>
    <t>어디서 본 것 같은 기능들만을 솔루션 제공함. 회사의 규모의 역량에서 실현 불가한 범위의 아이디어 제공</t>
  </si>
  <si>
    <t>AI 의 환상으로 사용자가 원하는 것 (의도 파악) 은 할 수 있지만 거짓이 있는지에 대한 검증 필요</t>
  </si>
  <si>
    <t>Granola</t>
  </si>
  <si>
    <t>Speeds up note-taking and brings others up to speed, at the cost of losing key details.
1) Backing up with your own notes
2) Clearly stating or providing templates</t>
  </si>
  <si>
    <t>Great for generating placeholder copy (marketing)</t>
  </si>
  <si>
    <t>Using LLMs to create Personas is more effocient and fast. But, at the cost of losing the human element/Interaction</t>
  </si>
  <si>
    <t>AI의 답변 결과로 비전문가의 일방적 의사결정이 늘어가고 전문가의 입지와 전문가로서의 자존감이 저해됨</t>
  </si>
  <si>
    <t>UIUX 02</t>
  </si>
  <si>
    <t>작성과 검토 시간 절약</t>
  </si>
  <si>
    <t>시안별 장단점 정리로 의사결정 시간 단축</t>
  </si>
  <si>
    <t>같은 팀원과 대화하는 느낌 (배경
설명을 할 필요가 없음) 프로젝트
맥락에 맞는 답변</t>
  </si>
  <si>
    <t>최종 디자인 작업에서 리터치를 직접
해야할 경우가 있음 (투시가 안맞거나
실제와 다름. 일관성이 없음)</t>
  </si>
  <si>
    <t>Code Pen</t>
  </si>
  <si>
    <t>개발자에게 디자인 의도를 전달하기 좋음. 레퍼런스를 찾지않고 직접 생성함</t>
  </si>
  <si>
    <t>디자인 작업시간 단축. 혼자 커버할 수 있는 업무범위가 늘어나서 동료의
필요성이 줄어듬.</t>
  </si>
  <si>
    <t>없는 논문과 출처 지어내기.
1) 2-3번 검증 필요</t>
  </si>
  <si>
    <t>프롬프팅 역량, 새로운 툴 학습능력이
빨라짐, 새로운 AI 툴 관련 업데이트
리서치를 많이 함 (정보파악)</t>
  </si>
  <si>
    <t>최신 정보가 아닌 학습된 시점까지의
정보 (과거 정보)</t>
  </si>
  <si>
    <t>타 부서의 전문지식 없이도 파악 가능
(팩트체크, 리스크 분석 등)</t>
  </si>
  <si>
    <t>연구 수행에 있어서 알지 못했던 중요한 정보 습득 및 기업/기관 리스크 파악
납득되는 문서 내용으로 검증하지 않음 (블랙박스 신뢰)</t>
  </si>
  <si>
    <t>내용 재확인 필요. 직접읽고 인사이트
도출할 때 보다 퀄리티 떨어짐</t>
  </si>
  <si>
    <t>기능별 필수 요소 정리를 잘 함</t>
  </si>
  <si>
    <t>미처 파악하지 못한 유저니즈 파악에
도움. 하지만 실제 사용자 기반이
아니므로 검증 필요</t>
  </si>
  <si>
    <t>반복적인 프롬프트를 통해 데이터정제
과정 필요 (원하는 카테고리고라이징이
될 때까지) (Accuracy: 직접하는 것보다는 나음)</t>
  </si>
  <si>
    <t>잘 모르는 세대의 선호도, 생각, 라이프 스타일 파악해서 제품 반영</t>
  </si>
  <si>
    <t>필드 리서치에서 비롯되는 스테이크홀더와 커뮤니케이션이
줄어듬</t>
  </si>
  <si>
    <t>빠진 시나리오가 없는지 검토- 정확성과 완성도, 사용자 만족도
높아짐</t>
  </si>
  <si>
    <t xml:space="preserve">2nd cats: Content Writing &amp; Documentation | Meeting Facilitation &amp; Communication Support | Presentation &amp; Visual Reporting </t>
  </si>
  <si>
    <t>2nd cats: Project Planning &amp; Workflow Management | Design Systems Management</t>
  </si>
  <si>
    <t>Design Systems Management</t>
  </si>
  <si>
    <t>User research &amp; Insight</t>
  </si>
  <si>
    <t>Domain &amp; Technical Knowledge</t>
  </si>
  <si>
    <t>Concept &amp; Idea development</t>
  </si>
  <si>
    <t>Technical Design</t>
  </si>
  <si>
    <t>User data analysis &amp; Pattern recognition</t>
  </si>
  <si>
    <t>Design synthesis &amp; framing</t>
  </si>
  <si>
    <t>Prediction &amp; forecasting</t>
  </si>
  <si>
    <t>Design critique &amp; feasibility assessment</t>
  </si>
  <si>
    <t>Criteria-based evaluation &amp; decision support</t>
  </si>
  <si>
    <t>Project planning &amp; workflow management</t>
  </si>
  <si>
    <t>Design systems management</t>
  </si>
  <si>
    <t>Meeting facilitation &amp; Communication support</t>
  </si>
  <si>
    <t>Presentation &amp; visual reporting</t>
  </si>
  <si>
    <t>Content writing &amp; Documentation</t>
  </si>
  <si>
    <t>Engineering design</t>
  </si>
  <si>
    <t>Service design</t>
  </si>
  <si>
    <t>UI/UX design</t>
  </si>
  <si>
    <t xml:space="preserve">Service designers and UI/UX designers are assisted by AI variously in Deliver phase compared to Engineering designers </t>
  </si>
  <si>
    <t xml:space="preserve">Three different types of designers ussage patterns are distinctive in each phase. Engineering designers AI use are evenly across the three phases from discover, define and develop, service design uses AI in discover and develop, whereas UI/UX use AI for develop mainly </t>
  </si>
  <si>
    <t xml:space="preserve">ED uses AI for domain, technical knowledge acquisition the most, SD users AI for user research the most, whereas UI/UX designers user AI for visual and design assets generation the most. </t>
  </si>
  <si>
    <t xml:space="preserve">designers use AI for Ideation and creative generation the most, follwed by knowledge acuiqsition and research and analysis and synthesis. </t>
  </si>
  <si>
    <t xml:space="preserve">ED rarely uses AI for documentation and communication </t>
  </si>
  <si>
    <t xml:space="preserve">For Knowledge acuqisition and research, ED and SD uses AI a lot compared to UIUX designers, ED for technical knowledge, whereas SD for user research </t>
  </si>
  <si>
    <t xml:space="preserve">The use of AI for service designers for concept and idea development is mainly around strategic discussions and design strategy. </t>
  </si>
  <si>
    <t>SUM</t>
  </si>
  <si>
    <t xml:space="preserve">UI/UX designers uses AI for validation and evaluation more than ED and SD. </t>
  </si>
  <si>
    <t>Designer
Group</t>
  </si>
  <si>
    <t>Original Quote</t>
  </si>
  <si>
    <t>ED</t>
  </si>
  <si>
    <t>아무래도 디자인은 여기서 디자인 여기하고 딱 끝나는 게 아니고 뒤에 제조 측면으로 가면 전체 디자인이 한 기획하고 합쳐서 1, 2 정도 되면 그게 8, 9 정도 되거든요. 돈이나 시간 따지면. 그렇기 때문에 앞단에서 그런 걸 많이 생각을 하는 것 같고요.</t>
  </si>
  <si>
    <t>Downstream cost of design error multiplied in manufacturing</t>
  </si>
  <si>
    <t>Accuracy as structural necessity in engineering pipeline</t>
  </si>
  <si>
    <t>Core Value Orientations Driving Innovation</t>
  </si>
  <si>
    <t>디자인 정합성이 좀 떨어져요. 디자인 의도가 처음에 이렇게 열심히 세워서 쭉 진행했는데 마지막에 일관성적인 측면도 많이 떨어지고 해서 특히나 저희는 아까 얘기했듯이 3D 조형 쪽을 많이 얘기를 하기 때문에 각각의 AI 툴 같은 거에 세팅창 들어가 보면 모르는 건 제발 모른다고 얘기해달라고 하는 그런 거 써놓을 수 있잖아요. 그런 것들이라든지 그래서 검증하는 거를 좀 많이 생각을 하는 것 같아요.</t>
  </si>
  <si>
    <t>Demanding AI acknowledge uncertainty; design coherence failure</t>
  </si>
  <si>
    <t>impaired value might be the accuracy actually, just because you don't know if it's telling you what actually happens in real practice. So all clinicians kind of go under this whole like guideline of their society. So Society of opacity surgery will give you a guideline for what you should do, but not everyone adheres to those guidelines. So there might be a kind of a disconnect between, you know, the book answer, and actually what happens in practice.</t>
  </si>
  <si>
    <t>Gap between textbook accuracy and real-world practice</t>
  </si>
  <si>
    <t>mostly focuses on assessing the ideas like getting feedback from AI. And the problem here is, of course, accuracy, but we're not really sure if the AI is going to be 100% right.</t>
  </si>
  <si>
    <t>Uncertainty in AI feedback reliability for design assessment</t>
  </si>
  <si>
    <t>it's important to verify, so I always ask for sources. And you know, if it's an idea that I want to explore in more depth, then I'm going to go ahead and actually check sources myself, and, you know, read through to make sure that it is reporting accurately.</t>
  </si>
  <si>
    <t>Personal verification routine to ensure AI output accuracy</t>
  </si>
  <si>
    <t>SD</t>
  </si>
  <si>
    <t>브레인스토밍을 통한 초기 방향성의 부분에서는 같은 맥락이 문제인데 저희가 브레인스토밍을 하더라도 아무래도 책상 위에서 하는 논의이다 보니까 현장에 있는 실질적인 수요자, 특히나 사각지대에 계신 분들까지 공감이 미치기는 어려운 부분이 있을 것 같고요.</t>
  </si>
  <si>
    <t>Desk-based brainstorming cannot reach marginalised users in the field</t>
  </si>
  <si>
    <t>Contextual sensemaking over desk-based generalisation</t>
  </si>
  <si>
    <t>의료 쪽 같은 경우는 이해 관계자들의 어떤 자기의 상하 또 이해가 이해 득실에 대한 여부 이런 것들이 반영이 안 되기 때문에 역시 좀 한계성을 초반에 리서치 단계에서도 많이 느낀다라는 게 있었고요.</t>
  </si>
  <si>
    <t>Stakeholder power dynamics and vested interests absent from AI outputs</t>
  </si>
  <si>
    <t>수렴 단계에서 되게 필요한 게 그 많은 키워드들 중에서 뭘 선택할까인데 그때는 중요도를 어떤 데이터가 분석하거나 아니면 어떤 비즈니스적인 우선순위 때문에 선택하기보다는 의도가 선택하는 것 같아요. 디자이너의 의도라든가 우리가 뭘 원하는가라든가 그때는 가장 인간적인 질문이기 때문에 그 영역에서는 반드시 사람의 영역이 필요하다.</t>
  </si>
  <si>
    <t>Convergence driven by designer intent, not data — irreducibly human</t>
  </si>
  <si>
    <t>두 번째는 역시 지금은 어쨌든 텍스트베이스된 AI니까 맥락에 대한 어떤 인지가 부족할 수밖에 없고 당연히 아까 말씀해 주셨던 가비지인, 가비지아웃 같은 개념이 많이 발생할 수밖에 없고 특히 이 맥락이라는 거는 되게 좀 어떻게 보면 왜곡이 심하잖아요.</t>
  </si>
  <si>
    <t>Text-based AI inherently lacks contextual cognition; garbage-in garbage-out</t>
  </si>
  <si>
    <t>이 전문성의 영역에 있는 것들이 어떤 거냐면 창의성이라든가 맥락을 이해한다든가 좀 더 날카로운 컨셉을 도출하게 한다든가 이런 것들은 아직까지는 AI의 도움이 아니라 사람이 필요하고 이 영역이 바로 전문성의 영역이 아닌가.</t>
  </si>
  <si>
    <t>Creativity, context, and sharp concepts defined as human expert domain</t>
  </si>
  <si>
    <t>UIUX</t>
  </si>
  <si>
    <t>저희는 실무 디자이너다 보니까 이런 실제로 본인의 손으로 도구를 가지고 만드는데 대한 어떤 자부심과 자존감이 있는 사람들인데 요거를 요새는 비디자이너 분들께서 이런 거를 자료를 AI에 넣어서 돌려보고 이런 의견을 받아보시고 여기에 대한 피드백을 디자이너 드리고 나서 뭔가 조금 디자이너의 의도와 맞지 않는 그런 의견을 주신다는 거에 대해서 좀 자존감이 떨어지고 기분이 좀 좋지 않다.</t>
  </si>
  <si>
    <t>Non-designers using AI to challenge designer intent; self-esteem erosion</t>
  </si>
  <si>
    <t>Authenticity of craft identity and creative expression</t>
  </si>
  <si>
    <t>you can sort of sense when something's done through an AI. And at this moment in time, the designs that get pumped out of these kind of UI generated things are very safe, basic. There's nothing about the kind of the aspects of the UI and the feeling and the emotion that you get from interacting with something.</t>
  </si>
  <si>
    <t>AI-generated UI lacks emotional resonance and human feeling</t>
  </si>
  <si>
    <t>사실은 디자이너는 끊임없이 창의성에 대해서 고민하는데 어떤 배우는 것도 배움의 기회도 상실이 되고 뻔한 거라는 거는 역시 AI 자체가 학습된 것들을 결과로 내비칠 확률이 높잖아요. 그런 관점에서 레이아웃상에서도 사실은 되게 좀 창의적인 게 나올 수도 있거든요. 다른 메타포나 어포던스를 우리가 가져오면서 사실 발휘될 수가 있는 것도 그냥 똑딱 하는 순간에 우리가 사실 스스로 배울 기회와 창의성을 상실하게 된다는 점이 조금 경계해야 되지 않나.</t>
  </si>
  <si>
    <t>AI reproduces trained patterns; designers lose learning and creative opportunity</t>
  </si>
  <si>
    <t>In my experience it always comes out looking the same, a bit vanilla, looks very basic, and personalityless.</t>
  </si>
  <si>
    <t>AI design outputs are generic, vanilla, and personality-less</t>
  </si>
  <si>
    <t>UI, UX 디자이너인데 컨셉 개발하고 앞단이나 앞단의 그런 컨셉 개발 익스플로링 할 때는 AI를 쓰는데 앞단에 익스플로링 할 때 쓰고 그리고 내 전문 분야가 아닌 외적 분야에서 할 때는 많이 지식을 습득하는데 많이 도움을 받는데 이게 인뎁스로 내려가게 되면 자기의 역량을 더 신뢰한다는 거예요.</t>
  </si>
  <si>
    <t>AI used in exploration phase; own expertise trusted in deep design work</t>
  </si>
  <si>
    <t>Actually, efficiency is very ubiquitous in all these categories.</t>
  </si>
  <si>
    <t>Efficiency as universal driver across all AI use cases</t>
  </si>
  <si>
    <t>Shared early-stage divergent adoption</t>
  </si>
  <si>
    <t>AI Adoption Patterns</t>
  </si>
  <si>
    <t>저희도 마찬가지로 디스커버 단계랑 그다음에 디벨롭 단계 이 발산이 되는 과정에서 가장 AI가 도움이 되지 않았나 하는 이야기가 있었지만</t>
  </si>
  <si>
    <t>AI most helpful in divergent discovery and develop phases</t>
  </si>
  <si>
    <t>I just like to add I think on a very coarse level a lot of the AI usage just kind of comes in in the first diamond once you kind of know what your destination is and you've got a very good idea the scope of what you're trying to do is just a lot less AI kind of used in the process.</t>
  </si>
  <si>
    <t>AI concentrated in first diamond; decreases as scope becomes defined</t>
  </si>
  <si>
    <t>So the outcome is very subjective according to the prompts we provide. And that's where like ChatGPT is so general and it can be used for multiple purposes.</t>
  </si>
  <si>
    <t>Prompt quality determines output quality; prompt engineering as shared new skill</t>
  </si>
  <si>
    <t>I found it really pretty useful in terms of doing quick calculations. It's able to draw, you know, both the relevant parameters from literature and relevant equations. So it'll give me a quick estimate of something which lets me know, you know, am I a factor of 10 away, where I from, where I need to be, or, you know, pretty close. And that helps me either rule in or rule out potential approaches to an engineering problem really quickly.</t>
  </si>
  <si>
    <t>AI for rapid technical feasibility calculations and parameter estimation</t>
  </si>
  <si>
    <t>AI as technical verification and knowledge augmentation tool</t>
  </si>
  <si>
    <t>represents a lot of the agentic workflows that we've been doing... once you've got your design, at least like a baseline design, and you're moving into a state where you want to do evaluation of prototypes or down select among designs, or optimization of the design... we've wrapped MTP on most of our mod sim capabilities so we can fire off compute jobs, visualize results, do post processing...</t>
  </si>
  <si>
    <t>Agentic AI workflows for simulation, prototype evaluation, and manufacturing</t>
  </si>
  <si>
    <t>knowledge transfer. So in many organizations, you may have a very small number, or even just one person who's expert in something, and bringing a new person up to speed is always a challenge, and the ability of the AI tools to sort of digest and summarize information can really help newcomers to an organization to get up to speed quickly.</t>
  </si>
  <si>
    <t>AI as institutional memory and knowledge transfer tool for small specialist teams</t>
  </si>
  <si>
    <t>"we have loads and loads of reports and design guides and test data, things like that that are from just like, you know, 30, 40, 50 Years of design that's been going on here at the lab"... using on prem [RAG] pipelines that have been developed, and that's really to get a sense of what's been done previously and how that might influence our design going forward.</t>
  </si>
  <si>
    <t>On-premise RAG pipelines to retrieve decades of internal design history</t>
  </si>
  <si>
    <t>engineering designers use quite customized AI a lot for these, like technical constraints or like design parameters, kind of things so very technical part, like very accurate thing information you kind of require from AI tools that was interesting.</t>
  </si>
  <si>
    <t>Customised AI tools for technical constraints and design parameter accuracy</t>
  </si>
  <si>
    <t>sort through ideas quickly, and using the AI tools lets me run through literature really quickly get an overview of, you know, market sizes, all kinds of things.</t>
  </si>
  <si>
    <t>AI for rapid literature and market scanning</t>
  </si>
  <si>
    <t>자료를 분석하고 문제점을 발견할 때는 AI의 도움을 받으면 확실히 포괄적인 내용이 가능하지만 동시에 일반적인 내용들이 있기 때문에 창의성이 저하되는 문제가 있는 것 같습니다.</t>
  </si>
  <si>
    <t>AI enables comprehensive coverage but produces generic results; creativity reduced</t>
  </si>
  <si>
    <t>AI as sensemaking scaffold with field-context skepticism</t>
  </si>
  <si>
    <t>저 같은 경우에는 작년에 처음으로 서비스 디자인 사업을 진행하게 된 일반 행정실인데 말씀드린 것처럼 처음에 사업을 기획할 때 AI를 사용하게 되면 편리한 것은 있지만 그것이 현장에서 가져갔을 때 정말 큰 차이가 있어서 아까 말씀드린 한계점을 실감하게 느꼈던 것 같고요.</t>
  </si>
  <si>
    <t>Convenience in planning stage but major gap when brought to field</t>
  </si>
  <si>
    <t>You can probably collect data and provide it to the AI so that it can assume that role and better help you. In my case, what I tend to do is I have taken screenshots of messages that my manager has, like the way my manager speaks to me, and I give it to AI and say, you know Alex, you know what he likes. Please, if I was to go present this to him, would this fly?</t>
  </si>
  <si>
    <t>Feeding personalised context data to AI to simulate stakeholder responses</t>
  </si>
  <si>
    <t>컨설팅 대신 팀의 데이터를 지속적으로 주입하고 공동의 컨설턴트로서 조언을 주고받음.</t>
  </si>
  <si>
    <t>Continuously injecting team data to use AI as shared institutional consultant</t>
  </si>
  <si>
    <t>I think we all seem to have quite organically and quite early adopters of AI as well for just being able to increase scope of information, synthesize information.</t>
  </si>
  <si>
    <t>Organic early adoption for information synthesis and scope expansion</t>
  </si>
  <si>
    <t>그리고 역시 퍼블러시티 AI로 패턴을 분류할 때 뭔가 좀 그냥 저희는 딸깍 이렇게 넣는 경우가 많은데 패턴을 분류하는 어떤 방법이라든지 종류는 사실 여러 가지가 있잖아요. 어피니티가 될 수도 있고 라벨링을 붙여서 그 라벨링 데이터로 뭔가 분석을 할 수도 있는데 그런 것들을 기초 지식 없이 그냥 넣다 보니까 스스로 학습한 기회를 많이 놓치게 된다는 거죠.</t>
  </si>
  <si>
    <t>Clicking AI for pattern analysis without foundational understanding; missing self-learning</t>
  </si>
  <si>
    <t>저희는 아무래도 실무 디자인을 하다 보니까 카드를 모아봤을 때 주로 디벨롭 부분은 한 80%가 아마 조금 몰려 있었어요.</t>
  </si>
  <si>
    <t>~80% of AI use cards concentrated in the develop (production) phase</t>
  </si>
  <si>
    <t>AI as production accelerator with guarded creative territory</t>
  </si>
  <si>
    <t>주로 시안을 초안을 만든다거나 그래픽 에셋 제작을 하는데 그런데 조금 많이 쓰셨습니다.</t>
  </si>
  <si>
    <t>Heavy AI use for initial draft designs and graphic asset production</t>
  </si>
  <si>
    <t>아무래도 UX, UI 할 때 이런 인터랙션 작업들도 많이 해야 되는데 그런 부분에서 기존에는 레퍼런스들을 많이 찾고 하는 그런 시간들이 있었다면 이제는 직접 그냥 인터랙션 개발을 만들어서 개발자한테 전달을 하면 되는 시대가 와가지고 개발자한테 그런 디자인 리더를 전달하기 좋은 콜라보레이션 측면에서의 장점도 더 좋았습니다.</t>
  </si>
  <si>
    <t>Direct AI-built interaction deliverables replace reference-finding; better dev handoff</t>
  </si>
  <si>
    <t>개발 같은 타 부서랑 일을 할 때가 많은데 타 부서의 전문 지식이 없어도 개발 공수 산정이나 일정 같은 걸 파악할 수 있다는 점에서 서로 이런 이견을 묻는 거 없이 팩트체크나 리스크 분석 같은 걸 할 수 있다는 그런 장점들이 있었습니다.</t>
  </si>
  <si>
    <t>AI enables cross-department fact-checking and risk analysis without specialist knowledge</t>
  </si>
  <si>
    <t>From getting to develop, this is a bit where we perhaps or or happiest in terms of generating codes and things like that. Because we can ask it to write code for us, where we define that asks what this code is meant to be doing. And that it gives give us some code we go over the test the code, we know what it's supposed to do, therefore we get very good idea how accurate the code is.</t>
  </si>
  <si>
    <t>Code generation in develop phase most trusted; easy to verify against defined intent</t>
  </si>
  <si>
    <t>한 번 AI를 학습시키면 저희의 백그라운드 서비스를 만드는 맥락을 이미 학습을 하고 있기 때문에 그냥 짧은 프롬프트만 던져도 그 친구가 그거를 파악하고 거기에 맞는 답변들을 해주기 때문에 마치 같은 옆자리 팀원과 대화하는 듯한 느낌이 있어서 효율성이 좋았다.</t>
  </si>
  <si>
    <t>Context-trained AI responds like a seated team member; efficiency from shared memory</t>
  </si>
  <si>
    <t>Seems like the primary enhanced value across the board is efficiency that comes from saving time when doing a task with AI use vs. without it.</t>
  </si>
  <si>
    <t>Universal efficiency gain as primary enhanced value across all groups</t>
  </si>
  <si>
    <t>Cross-group: Efficiency gains and learning paradox</t>
  </si>
  <si>
    <t>Impacts of AI Adoption</t>
  </si>
  <si>
    <t>자료조사 단계에서는 먼저 효율성이 확실히 장점이 있고, 이런 조사를 통해서 이게 학습의 계기가 되는 부분이 또 다른 장점인 것 같습니다.</t>
  </si>
  <si>
    <t>Efficiency clear in research; AI-assisted inquiry also serves as learning catalyst</t>
  </si>
  <si>
    <t>왜냐하면 AI는 결과를 주면서 우리한테 그 과정을 오픈하지 않기 때문에 컨텍스트 어웨어니스에서 과정을 알아가는 어떤 습득의 기회를 우리한테 뺏어감으로써 결과적으로 우리가 그 결과를 컨트롤러티 할 수 있는 컨트롤러비드러티를 잃어버리게 한다는 얘기를 저희가 많이 했고요.</t>
  </si>
  <si>
    <t>AI hides its process; depriving designers of learning opportunity and controllability</t>
  </si>
  <si>
    <t>Yeah it was an interesting contention that was a collaboration versus efficiency. And we saw an interesting kind of, the same kind of pull when it comes to like learning through osmosis. When you kind of get a bunch of information, you're a consultant and you're on a project and you read a bunch of things and you pull out what you need, but you learn about all this other stuff as well. Whereas if you're using an agent... you get this piece, but you don't get all of this.</t>
  </si>
  <si>
    <t>AI reduces osmotic learning; extractive efficiency trades against immersive knowledge</t>
  </si>
  <si>
    <t>혼자 디자인 작업 시간이 단축되는 그런 측면이 있었지만 그래서 혼자 커버할 수 있는 업무 범위가 늘어났다는 그런 장점이 있는데요. 그거의 반대되는 측면에서 그만큼 동료의 필요성이 좀 줄어들었고 특히 시니어분들보다는 주니어분들의 필요성이 조금 많이 줄었다라는 그런 부분들이 있었습니다.</t>
  </si>
  <si>
    <t>Individual work scope expanded; junior colleagues needed less — threat to team structure</t>
  </si>
  <si>
    <t>문서 정리나 검색, 타 부서 데이터 같은 거를 검색할 때 너무 편리하게 잘 쓰고 있기 때문에 효율성이 좋아졌지만 그만큼 또 반대되는 측면으로는 사회적 커뮤니케이션 다른 팀원들한테 굳이 물어보러 갈 일이 줄어서 사회적 맥락에서의 접근성이 좀 떨어지게 되었다.</t>
  </si>
  <si>
    <t>Document search efficiency gained; social communication and peer consultation reduced</t>
  </si>
  <si>
    <t>The primary impaired value is AI-literacy (trust) which stems from a lack of transparency as far as to how the AI tools fundamentally work and the uncertainty of the sources they refer to to generate answers to prompts.</t>
  </si>
  <si>
    <t>Trust impaired by opacity of AI models and unreliable sourcing</t>
  </si>
  <si>
    <t>ED: Accuracy gains vs. trust deficit and creativity risk</t>
  </si>
  <si>
    <t>we don't know what it's going to generate if we can trust it, if it's accurate, if it's relevant, so then we have to kind of circle back and basically learn, how are we going to QA, QC, red line, verify whatever it gives us, because it's somewhat of A black box.</t>
  </si>
  <si>
    <t>Permanent QA loop required because AI is a black box</t>
  </si>
  <si>
    <t>AI is really great for that knowledge augmentation of learning, say, someone else's field at a high level, and kind of learning, how to categorize it and think about it, how to talk to and interact and communicate with other disciplines.</t>
  </si>
  <si>
    <t>AI enables cross-disciplinary knowledge acquisition and communication</t>
  </si>
  <si>
    <t>ais that help with like creating something like the topology modules in CAD softwares, you know, creativity is kind of an issue because you don't really want your engineers to delegate that the creativity part to others.</t>
  </si>
  <si>
    <t>Risk of delegating creative design judgment to AI topology tools</t>
  </si>
  <si>
    <t>the enhanced value is just a tremendous time saving, and I think probably a more in depth analysis than I would do myself so, you know, by calling on different personas, essentially, you know, I get, I get a marketing team, which is not something I'm necessarily expert in.</t>
  </si>
  <si>
    <t>AI provides multi-persona analysis equivalent to having a cross-functional team</t>
  </si>
  <si>
    <t>when I ask an AI to tell me what I what I need to know. It's basically making decisions for me. But although it's really good at that, I think it's best if we also do things the old fashioned way, like reading all these different websites and, you know, doing our own classic research, because in the end, it's the AI deciding which things I should focus on. And I don't think it's very healthy and conclusive.</t>
  </si>
  <si>
    <t>AI determining focus is unhealthy; traditional research still needed for judgement</t>
  </si>
  <si>
    <t>어떻게 보면 커뮤니케이션 하기가 좀 편해졌죠. 우리가 결과에 대해서 컨셉 디자인을 낼 때 시각화하는 데 공을 들이는 편이 많잖아요. 그런 게 압도적으로 많이 줄어들고.</t>
  </si>
  <si>
    <t>Communication and concept visualisation effort dramatically reduced</t>
  </si>
  <si>
    <t>SD: Democratised sensemaking vs. homogenised context</t>
  </si>
  <si>
    <t>실제로 담당자가 해온 게 제가 해온 것 이상으로 더 잘해봤어요. 물론 컨셉이 조금 더 다듬어야 했겠지만 그런 점들이 작년과 올해가 다르고 내년에는 훨씬 더 좋아지지 않을까.</t>
  </si>
  <si>
    <t>Project officer's AI output exceeded designer's; stakeholder capability rising</t>
  </si>
  <si>
    <t>특히 저희 조의 어떤 주제를 크게 보자면 첫 번째는 나다움이 부족하다. 결국에는 개인 맞춤화 이런 것들이 좀 덜 돼서 사실 AI가 어떻게 보면 천편일률적인 회계라된 정보를 주려는 게 아닐까.</t>
  </si>
  <si>
    <t>Lack of 'self-ness'; AI produces uniform, homogenised information</t>
  </si>
  <si>
    <t>결론이 자기다움, 그러니까 개성이나 이런 것들을 조금 더 고민을 해야지 그렇지 않으면 사실 AI 드리븐을 인해서 우리가 좀 획일화 되는 그런 결과를 가져갈 수 있다.</t>
  </si>
  <si>
    <t>Must develop individuality or AI-driven work leads to uniform outcomes</t>
  </si>
  <si>
    <t>AI가 디자인의 실제 Outcome을 만들어내다 보니 인간 Designer의 논리적 설명력 (Design rationale)이 약해짐.</t>
  </si>
  <si>
    <t>AI-generated outcomes weaken designer's design rationale capacity</t>
  </si>
  <si>
    <t>Anything that had to do with genuine human contribution or anything that had to just make it sound more better. You know when you use AI and they say, oh, you can just tell when someone has used AI. We noticed that when it comes to the business and service way of using it, that human quality tends to deplete. The first instance that it gives you is great, is amazing. But once you put the second prompt, you put the third prompt, that human quality or that human perspective, it tends to just go down.</t>
  </si>
  <si>
    <t>Human quality of output degrades with each successive prompt iteration</t>
  </si>
  <si>
    <t>맥락적인 부분에서 저희가 조사하는 자료가 정말 현장에서의 수요자의 페인트포인트까지 포착하기는 어려운 부분이 있어서 그런 부분에 한계가 있는 것 같습니다.</t>
  </si>
  <si>
    <t>AI research cannot capture field-level user pain points contextually</t>
  </si>
  <si>
    <t>효율성이 굉장히 높다라는 부분 그리고 좀 구현 가능성에 대해서 미리 좀 살펴볼 수 있었다는 부분들에 대한 의견이 많았고요.</t>
  </si>
  <si>
    <t>High efficiency and ability to preview feasibility praised</t>
  </si>
  <si>
    <t>UIUX: Productivity vs. professional identity and boundary erosion</t>
  </si>
  <si>
    <t>타 부서의 전문 지식이 없어도 좀 관여를 할 수 있게 됐다는 측면에서 상대방도 디자인 전문 영역에 대한 경계가 흐려졌다는 그런 측면입니다. 그래서 AI가 점점 고도화되면 우리 디자이너가 좀 살아남을 수 있을까 약간 이런 거에 대한 걱정도 들었고요.</t>
  </si>
  <si>
    <t>Professional domain boundaries blurred; existential concern about designer survival</t>
  </si>
  <si>
    <t>디자인 전문 영역에 대한 경계가 흐려졌는데... 이건 조금 슬픈 얘기인데 조금 기획자분이 디자인을 또 라이브러리도 너무 잘 돼 있으니까 잡아서 오셨는데 좀 디자인에 덜 디벨롭하셨던 디자이너님이 그분보다 디자인을 좀 잘하진 않는 거예요. 우리 동료가.</t>
  </si>
  <si>
    <t>Planner's AI-aided design outperformed a less-experienced designer colleague</t>
  </si>
  <si>
    <t>이런 세상이 계속 유지가 됐을 때 한 10년 뒤, 20년 뒤에는 어떤 세상이 펼쳐질까를 얘기를 해봤을 때 어떤 분께서 결국에는 나중에는 AI를 쓰지 않는 디자이너가 다시 각광받는 세상이 되지 않을까라는 되게 재미있는 의견을 주셨어요.</t>
  </si>
  <si>
    <t>Future speculation: designers who don't use AI may become valued again</t>
  </si>
  <si>
    <t>저희가 생각해본 게 나중에는 뭔가 우리가 이런 뭔가 첨가물을 쓰지 않는 유기농 그런 것들을 좀 원하는 그런 게 명품이 되는 세상이 올 것처럼 나중에 대해서는 오히려 그렇게 반대로 다시 회귀하는 그런 문화가 오지 않을까.</t>
  </si>
  <si>
    <t>Analogy to organic luxury goods: human-made design as premium counter-reaction</t>
  </si>
  <si>
    <t>창의성이 저하되는 부분이 조금 많이 좀 아쉽다.</t>
  </si>
  <si>
    <t>Creativity decline is a significant and regrettable loss</t>
  </si>
  <si>
    <t>사용자 니즈나 페르소나 도출이나 유저 리서치 설계 같은 부분에서는 미처 파악하지 못한 유저 니즈 파악에는 도움이 됐으나 실제 유저 기반이 아니기 때문에 검증이 필요하다는 그런 측면들도 있었습니다.</t>
  </si>
  <si>
    <t>AI helps identify overlooked user needs but not grounded in real users; needs validation</t>
  </si>
  <si>
    <t>I think AI is not doing the whole job for me. So I think it's using whatever I feed into it. And so it's still ultimately a tool that's assisting and expanding on my approach and my thoughts.</t>
  </si>
  <si>
    <t>AI as tool extending human approach, not replacing it</t>
  </si>
  <si>
    <t>Emerging human-AI director-executor model</t>
  </si>
  <si>
    <t>Creativity, context, sharp concepts defined as irreducible human expert domain</t>
  </si>
  <si>
    <t>근데 지금 아까 그런 노드 방식이라든지 내가 AI와 파트너로서 협업하고 있는 프로세스를 전반적으로 보여준다면 내가 그냥 내가 똘똘한 디자이너가 그런 형태가 아니고 약간 파트너십을 기대할 수 있겠죠. 저는 디렉팅하고 가이던스를 주고 파트너로서 일을 하면 그게 오히려 좀 다음 세대의 일하는 문화가 있을 수 있지 않을까 생각합니다.</t>
  </si>
  <si>
    <t>Designer as director and guide; AI partnership as next-generation work culture</t>
  </si>
  <si>
    <t>where's the accountability there? Like there has to be now. Given highly tuned, really well facilitated design process, a creative now makes the actual decision of what actually becomes the design and owns that and is accountable to that.</t>
  </si>
  <si>
    <t>Human designer must own and be accountable for final design decisions</t>
  </si>
  <si>
    <t>COLOUR LEGEND</t>
  </si>
  <si>
    <t>Designer Group</t>
  </si>
  <si>
    <t>ED  (Engineering Designer)</t>
  </si>
  <si>
    <t>SD  (Service Designer)</t>
  </si>
  <si>
    <t>UIUX (UI/UX Designer)</t>
  </si>
  <si>
    <t>E65100</t>
  </si>
  <si>
    <t>Aggregated Dimension (row background)</t>
  </si>
  <si>
    <t>FDE8D8</t>
  </si>
  <si>
    <t>STRUCTURE</t>
  </si>
  <si>
    <t>Direct label derived from participant language</t>
  </si>
  <si>
    <t>Interpretive grouping of 1st order codes</t>
  </si>
  <si>
    <t>Overarching theoretical theme (3 total)</t>
  </si>
  <si>
    <t xml:space="preserve">Engineering Design </t>
  </si>
  <si>
    <t>Service Design</t>
  </si>
  <si>
    <t>UI/UX</t>
  </si>
  <si>
    <t xml:space="preserve">Tools </t>
  </si>
  <si>
    <t>Values</t>
  </si>
  <si>
    <t>Percentile</t>
  </si>
  <si>
    <t>Functions</t>
  </si>
  <si>
    <t>LLM</t>
  </si>
  <si>
    <t>ML (Python)</t>
  </si>
  <si>
    <t>Design-specific</t>
  </si>
  <si>
    <t>Graphic</t>
  </si>
  <si>
    <t xml:space="preserve">Midjourney </t>
  </si>
  <si>
    <t xml:space="preserve">Knowledge management Data base, knowledge management, template guidance </t>
  </si>
  <si>
    <t xml:space="preserve">Kling </t>
  </si>
  <si>
    <t>Co-pilot</t>
  </si>
  <si>
    <t>Design-Specific</t>
  </si>
  <si>
    <t>CX Agents</t>
  </si>
  <si>
    <t>Knowledge management</t>
  </si>
  <si>
    <t>ML (Phython)</t>
  </si>
  <si>
    <t>Miccelaneous (Single mention's)</t>
  </si>
  <si>
    <t>N/A</t>
  </si>
  <si>
    <t>Flow charting</t>
  </si>
  <si>
    <t>DeepSeek</t>
  </si>
  <si>
    <t>Process automation</t>
  </si>
  <si>
    <t xml:space="preserve">Upcodes </t>
  </si>
  <si>
    <t>All AI Tool</t>
  </si>
  <si>
    <t>GenAI</t>
  </si>
  <si>
    <t>Total</t>
  </si>
  <si>
    <t xml:space="preserve">Using mainly GenAI but engineering design uses ML more than (6%) other two, Servie design (1.8%) and UI/UX (1.6%). </t>
  </si>
  <si>
    <t xml:space="preserve">Reflecting each design practice, engineering design uses 3D AI agents, UI/UX uses coding AI agents and UI flow agents, and service design uses BDM agents </t>
  </si>
  <si>
    <t xml:space="preserve">In terms of AI tool variations, UI/UX designers use different variety of AI tools the most with 20 of the single mentions tools, followed by service design and engineering design. It applied perhaps there are more commercialised tools for UI/UX designers can use for their practice </t>
  </si>
  <si>
    <t xml:space="preserve">In terms of the number of tool usages, UI/UX use AI tools the most in development phase, whereas service designers use during divergent phases (discover and develop), engineering designers use evenly except delivery phase. </t>
  </si>
  <si>
    <t>11, 13, 15</t>
  </si>
  <si>
    <t xml:space="preserve">Affordability </t>
  </si>
  <si>
    <t>Learning/Skills development</t>
  </si>
  <si>
    <t>Context appropriateness</t>
  </si>
  <si>
    <t>Scaliablity</t>
  </si>
  <si>
    <t>User-centredness</t>
  </si>
  <si>
    <t xml:space="preserve">values are controversial.  </t>
  </si>
  <si>
    <t xml:space="preserve">mainly negative </t>
  </si>
  <si>
    <t>mainly positive</t>
  </si>
  <si>
    <t>&gt; AI-Literacy (Trust), Authenticity, Controllabikity</t>
  </si>
  <si>
    <t xml:space="preserve">&gt;Efficiency, Scalability </t>
  </si>
  <si>
    <t>&gt;Learning/Skills, Creativity, User-centredness</t>
  </si>
  <si>
    <t xml:space="preserve">&gt;Accuracy, Conext Appropriateness, Feasibility are bit mixed between design discipliens. </t>
  </si>
  <si>
    <t xml:space="preserve">&lt;- These SUM data does not seem to have much insight </t>
  </si>
  <si>
    <r>
      <t xml:space="preserve">Here's the revised file. The key change is that all 9 second-order categories are now genuinely cross-field — each one has quotes from at least two, usually all three, designer groups. Here's the new structure:
</t>
    </r>
    <r>
      <rPr>
        <b/>
        <sz val="11"/>
        <color theme="1"/>
        <rFont val="Calibri"/>
        <family val="2"/>
        <scheme val="minor"/>
      </rPr>
      <t>Dimension 1 — Core Value Orientations</t>
    </r>
    <r>
      <rPr>
        <sz val="11"/>
        <color theme="1"/>
        <rFont val="Calibri"/>
        <family val="2"/>
        <scheme val="minor"/>
      </rPr>
      <t xml:space="preserve">
</t>
    </r>
    <r>
      <rPr>
        <sz val="11"/>
        <color rgb="FFC00000"/>
        <rFont val="Calibri (Body)"/>
      </rPr>
      <t xml:space="preserve">Accuracy as a non-negotiable design value — ED </t>
    </r>
    <r>
      <rPr>
        <sz val="11"/>
        <color theme="1"/>
        <rFont val="Calibri"/>
        <family val="2"/>
        <scheme val="minor"/>
      </rPr>
      <t xml:space="preserve">anchors this (manufacturing pipeline), but SD adds hallucination-driven reliability concerns, and UIUX contributes the efficiency–accuracy trade-off and trend research failures
</t>
    </r>
    <r>
      <rPr>
        <sz val="11"/>
        <color rgb="FFC00000"/>
        <rFont val="Calibri (Body)"/>
      </rPr>
      <t>Contextual understanding as the core of meaning-making — S</t>
    </r>
    <r>
      <rPr>
        <sz val="11"/>
        <color rgb="FFC00000"/>
        <rFont val="Calibri"/>
        <family val="2"/>
        <scheme val="minor"/>
      </rPr>
      <t>D</t>
    </r>
    <r>
      <rPr>
        <sz val="11"/>
        <color theme="1"/>
        <rFont val="Calibri"/>
        <family val="2"/>
        <scheme val="minor"/>
      </rPr>
      <t xml:space="preserve"> leads, but ED raises the "lived experience" gap, and UIUX adds the meeting transcription and insight-extraction failures
</t>
    </r>
    <r>
      <rPr>
        <sz val="11"/>
        <color rgb="FFC00000"/>
        <rFont val="Calibri (Body)"/>
      </rPr>
      <t>Authenticity and creative identity as design values — UIUX</t>
    </r>
    <r>
      <rPr>
        <sz val="11"/>
        <color theme="1"/>
        <rFont val="Calibri"/>
        <family val="2"/>
        <scheme val="minor"/>
      </rPr>
      <t xml:space="preserve"> leads, but SD flags how AI foregrounds rationality over emotion, and ED warns against delegating creative engineering judgment to topology tools
</t>
    </r>
    <r>
      <rPr>
        <b/>
        <sz val="11"/>
        <color theme="1"/>
        <rFont val="Calibri"/>
        <family val="2"/>
        <scheme val="minor"/>
      </rPr>
      <t>Dimension 2 — AI Adoption Patterns</t>
    </r>
    <r>
      <rPr>
        <sz val="11"/>
        <color theme="1"/>
        <rFont val="Calibri"/>
        <family val="2"/>
        <scheme val="minor"/>
      </rPr>
      <t xml:space="preserve">
</t>
    </r>
    <r>
      <rPr>
        <sz val="11"/>
        <color rgb="FFC00000"/>
        <rFont val="Calibri (Body)"/>
      </rPr>
      <t xml:space="preserve">Knowledge acquisition and research efficiency </t>
    </r>
    <r>
      <rPr>
        <sz val="11"/>
        <color theme="1"/>
        <rFont val="Calibri"/>
        <family val="2"/>
        <scheme val="minor"/>
      </rPr>
      <t xml:space="preserve">— all three fields adopt AI here first and most confidently
Selective use in divergent phases, resistance in convergent ones — </t>
    </r>
    <r>
      <rPr>
        <sz val="11"/>
        <color rgb="FFC00000"/>
        <rFont val="Calibri (Body)"/>
      </rPr>
      <t>all three groups independently describe the same discover-heavy, converge-cautious pattern</t>
    </r>
    <r>
      <rPr>
        <sz val="11"/>
        <color theme="1"/>
        <rFont val="Calibri"/>
        <family val="2"/>
        <scheme val="minor"/>
      </rPr>
      <t xml:space="preserve">
Prompt engineering as emerging cross-field skill — UIUX and SD describe iterative prompting strategies; ED names detailed prompts as their primary mitigation
Extending individual capacity in under-resourced contexts — ED (small labs), UIUX (solo startup designer), SD (simulating stakeholder personas) all describe this
</t>
    </r>
    <r>
      <rPr>
        <b/>
        <sz val="11"/>
        <color theme="1"/>
        <rFont val="Calibri"/>
        <family val="2"/>
        <scheme val="minor"/>
      </rPr>
      <t>Dimension 3 — Impacts</t>
    </r>
    <r>
      <rPr>
        <sz val="11"/>
        <color theme="1"/>
        <rFont val="Calibri"/>
        <family val="2"/>
        <scheme val="minor"/>
      </rPr>
      <t xml:space="preserve">
</t>
    </r>
    <r>
      <rPr>
        <sz val="11"/>
        <color rgb="FFC00000"/>
        <rFont val="Calibri (Body)"/>
      </rPr>
      <t>Efficiency gains</t>
    </r>
    <r>
      <rPr>
        <sz val="11"/>
        <color theme="1"/>
        <rFont val="Calibri"/>
        <family val="2"/>
        <scheme val="minor"/>
      </rPr>
      <t xml:space="preserve"> — universal, uncontested across all three
</t>
    </r>
    <r>
      <rPr>
        <sz val="11"/>
        <color rgb="FFC00000"/>
        <rFont val="Calibri (Body)"/>
      </rPr>
      <t xml:space="preserve">Learning paradox </t>
    </r>
    <r>
      <rPr>
        <sz val="11"/>
        <color theme="1"/>
        <rFont val="Calibri"/>
        <family val="2"/>
        <scheme val="minor"/>
      </rPr>
      <t xml:space="preserve">— all three describe the same double-bind of AI-enabled vs. AI-suppressed learning
</t>
    </r>
    <r>
      <rPr>
        <sz val="11"/>
        <color rgb="FFC00000"/>
        <rFont val="Calibri (Body)"/>
      </rPr>
      <t>Homogenisation — SD, UIUX, and ED all flag creativity and generic outputs as a shared concern</t>
    </r>
    <r>
      <rPr>
        <sz val="11"/>
        <color theme="1"/>
        <rFont val="Calibri"/>
        <family val="2"/>
        <scheme val="minor"/>
      </rPr>
      <t xml:space="preserve">
Erosion of professional boundaries — UIUX most vocal, but SD and ED also note </t>
    </r>
    <r>
      <rPr>
        <sz val="11"/>
        <color rgb="FFC00000"/>
        <rFont val="Calibri (Body)"/>
      </rPr>
      <t>reduced collaboration</t>
    </r>
    <r>
      <rPr>
        <sz val="11"/>
        <color theme="1"/>
        <rFont val="Calibri"/>
        <family val="2"/>
        <scheme val="minor"/>
      </rPr>
      <t xml:space="preserve">
</t>
    </r>
    <r>
      <rPr>
        <sz val="11"/>
        <color rgb="FFC00000"/>
        <rFont val="Calibri (Body)"/>
      </rPr>
      <t>Redesigning the human role — all three converge on the director/executor model as a response</t>
    </r>
  </si>
  <si>
    <t>ED: Accuracy as structural necessity in engineering pipeline</t>
  </si>
  <si>
    <t>SD: Contextual sensemaking over desk-based generalisation</t>
  </si>
  <si>
    <t>UIUX: Authenticity of craft identity and creative expression</t>
  </si>
  <si>
    <t>Aggregated Dimensions</t>
  </si>
  <si>
    <t>Can be combined with content analysis (AI supprted design practice)</t>
  </si>
  <si>
    <t>Can be combined with content analysis (Value)</t>
  </si>
  <si>
    <r>
      <t xml:space="preserve">Can be combined with innovation theories, or three different design approaches 
</t>
    </r>
    <r>
      <rPr>
        <sz val="9"/>
        <color rgb="FFC00000"/>
        <rFont val="Arial"/>
        <family val="2"/>
      </rPr>
      <t xml:space="preserve">But is this distinction can be supported by the content analysis too (Value)? </t>
    </r>
  </si>
  <si>
    <t>There are quotes recorded from the workshops from three different designers, ED for engineering designers, SD for service designers, and UIUX for UIUX designers. I want you to conduct thematic analysis around what value different designers focus to achieve innovation (i.e., accuracy for ED, autheticity for UIUX, and making sense of things for SD) and how that drives designers adoption of AI in their daily practice, and what are the impacts the AI adoption brings. You can identify commonalities as well as differentiations for each value, AI adoption, and impact. Do not exclude Korean quotes, and provide with original quotes as evidence.
This report is amazing, would you please provide this on excel? in the format of quotes (original, not summary version), 1st order code, 2nd order categories and aggregated dimensions? So each part will be the aggregated dimensions in this context.</t>
  </si>
  <si>
    <t>These are the quotes of the AI embedded design practice and I would like you to develop 1st order code and 2nd order categories. Aggregated dimensions are not necessary</t>
  </si>
  <si>
    <t>Background Research &amp; Sensemaking</t>
  </si>
  <si>
    <t>Definition of AD</t>
  </si>
  <si>
    <t>2nd order category</t>
  </si>
  <si>
    <t>Definition of each category</t>
  </si>
  <si>
    <t>Trend &amp; Market Learning and Forecasting</t>
  </si>
  <si>
    <t>User Research &amp; Pattern Recognition</t>
  </si>
  <si>
    <t>Visual Reference Generation</t>
  </si>
  <si>
    <t>Scenario Creation</t>
  </si>
  <si>
    <t>Prototype Generation</t>
  </si>
  <si>
    <t>Design Critique &amp; Assessment</t>
  </si>
  <si>
    <t>Design Selection &amp; Decision Support</t>
  </si>
  <si>
    <t xml:space="preserve">Project Planning &amp; Workflow Management </t>
  </si>
  <si>
    <t>Documentation &amp; Communication Support</t>
  </si>
  <si>
    <t xml:space="preserve">Explore, generate, and materialise design ideas through creative processes, visualisation, and prototyping </t>
  </si>
  <si>
    <t>Organise and coordinate design activities, resources, and communication to ensure efficient and coherent project execution</t>
  </si>
  <si>
    <t>Analysing market dynamics and emerging trends to anticipate opportunities and guide strategic design direction</t>
  </si>
  <si>
    <t>Acquiring and synthesising domain-specific and technical knowledge to inform design feasibility and implementation.</t>
  </si>
  <si>
    <t>Investigating user behaviours and needs to identify patterns that inform user-centred design decisions.</t>
  </si>
  <si>
    <t>Developing use-case scenarios and narratives to envision how designs function within real-world contexts.</t>
  </si>
  <si>
    <t>Building physical or digital aretefacts to test, communicate, and iterate design ideas.</t>
  </si>
  <si>
    <t>Producing IP-free visual references (e.g., mood boards, precedents) to guide and communicate design exploration</t>
  </si>
  <si>
    <t>Creating and refining design concepts through iterative exploration and synthesis of ideas.</t>
  </si>
  <si>
    <t>Supporting the selection of optimal design solutions through comparative analysis and evidence-based decision-making</t>
  </si>
  <si>
    <t>Structuring and managing design tasks, timelines, and workflows to ensure efficient project execution.</t>
  </si>
  <si>
    <t>Creating and managing documentation and communications to support clarity, coordination, and knowledge sharing within design projects</t>
  </si>
  <si>
    <t>Developing and maintaining the design systems and the design assets in the library to ensure consistency across outputs within organisations.</t>
  </si>
  <si>
    <t>Assess, validate, and select design outcomes</t>
  </si>
  <si>
    <t>Research and synthesize insights from information relevant to the design problem, context, and technical domain</t>
  </si>
  <si>
    <t>Evaluating design concepts to assess their quality, feasibility, and alignment with objectives</t>
  </si>
  <si>
    <t>Design Evaluation &amp; Selection</t>
  </si>
  <si>
    <t xml:space="preserve">(NEW?) Strategic level of Business/Service/Design Direction Ideation </t>
  </si>
  <si>
    <t xml:space="preserve">Should we have forecasting as a separate category? </t>
  </si>
  <si>
    <t xml:space="preserve">(NEW?) Product service specification Identification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</si>
</sst>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Calibri"/>
      <family val="2"/>
      <scheme val="minor"/>
    </font>
    <font>
      <b/>
      <sz val="10"/>
      <color rgb="FFFFFFFF"/>
      <name val="Arial"/>
      <family val="2"/>
    </font>
    <font>
      <sz val="9"/>
      <color rgb="FF222222"/>
      <name val="Arial"/>
      <family val="2"/>
    </font>
    <font>
      <sz val="9"/>
      <name val="Arial"/>
      <family val="2"/>
    </font>
    <font>
      <b/>
      <sz val="9"/>
      <color rgb="FF1F3864"/>
      <name val="Arial"/>
      <family val="2"/>
    </font>
    <font>
      <b/>
      <sz val="9"/>
      <color rgb="FF1F5C2E"/>
      <name val="Arial"/>
      <family val="2"/>
    </font>
    <font>
      <b/>
      <sz val="9"/>
      <color rgb="FF5C3317"/>
      <name val="Arial"/>
      <family val="2"/>
    </font>
    <font>
      <b/>
      <sz val="9"/>
      <color rgb="FF6B0000"/>
      <name val="Arial"/>
      <family val="2"/>
    </font>
    <font>
      <b/>
      <sz val="9"/>
      <color rgb="FF374700"/>
      <name val="Arial"/>
      <family val="2"/>
    </font>
    <font>
      <b/>
      <sz val="9"/>
      <color rgb="FF3D1F6B"/>
      <name val="Arial"/>
      <family val="2"/>
    </font>
    <font>
      <sz val="9"/>
      <color rgb="FFDDDDDD"/>
      <name val="Arial"/>
      <family val="2"/>
    </font>
    <font>
      <sz val="10"/>
      <color rgb="FF1F3864"/>
      <name val="Arial"/>
      <family val="2"/>
    </font>
    <font>
      <sz val="9"/>
      <color rgb="FF444444"/>
      <name val="Arial"/>
      <family val="2"/>
    </font>
    <font>
      <sz val="10"/>
      <color rgb="FF1F5C2E"/>
      <name val="Arial"/>
      <family val="2"/>
    </font>
    <font>
      <sz val="10"/>
      <color rgb="FF5C3317"/>
      <name val="Arial"/>
      <family val="2"/>
    </font>
    <font>
      <sz val="10"/>
      <color rgb="FF6B0000"/>
      <name val="Arial"/>
      <family val="2"/>
    </font>
    <font>
      <sz val="10"/>
      <color rgb="FF374700"/>
      <name val="Arial"/>
      <family val="2"/>
    </font>
    <font>
      <sz val="10"/>
      <color rgb="FF3D1F6B"/>
      <name val="Arial"/>
      <family val="2"/>
    </font>
    <font>
      <sz val="10"/>
      <color rgb="FF000000"/>
      <name val="Arial"/>
      <family val="2"/>
    </font>
    <font>
      <sz val="11"/>
      <color theme="1"/>
      <name val="Calibri"/>
      <family val="2"/>
      <scheme val="minor"/>
    </font>
    <font>
      <sz val="12"/>
      <color rgb="FFFF0000"/>
      <name val="Calibri"/>
      <family val="2"/>
      <scheme val="minor"/>
    </font>
    <font>
      <sz val="12"/>
      <color theme="0"/>
      <name val="Calibri"/>
      <family val="2"/>
      <scheme val="minor"/>
    </font>
    <font>
      <b/>
      <sz val="11"/>
      <color theme="1"/>
      <name val="Yu Gothic UI Regular"/>
    </font>
    <font>
      <sz val="11"/>
      <color theme="1"/>
      <name val="Yu Gothic UI Regular"/>
    </font>
    <font>
      <sz val="11"/>
      <color rgb="FFFF0000"/>
      <name val="Yu Gothic UI Regular"/>
    </font>
    <font>
      <sz val="11"/>
      <color rgb="FF000000"/>
      <name val="Yu Gothic UI Regular"/>
    </font>
    <font>
      <sz val="11"/>
      <color rgb="FFC00000"/>
      <name val="Yu Gothic UI Regular"/>
    </font>
    <font>
      <sz val="11"/>
      <color theme="5" tint="-0.249977111117893"/>
      <name val="Yu Gothic UI Regular"/>
    </font>
    <font>
      <sz val="11"/>
      <color rgb="FFFF0000"/>
      <name val="Calibri"/>
      <family val="2"/>
      <scheme val="minor"/>
    </font>
    <font>
      <sz val="11"/>
      <color theme="5"/>
      <name val="Yu Gothic UI Regular"/>
    </font>
    <font>
      <sz val="9"/>
      <color theme="1"/>
      <name val="Arial"/>
      <family val="2"/>
    </font>
    <font>
      <sz val="9"/>
      <color rgb="FFC00000"/>
      <name val="Arial"/>
      <family val="2"/>
    </font>
    <font>
      <b/>
      <sz val="11"/>
      <color theme="1"/>
      <name val="Calibri"/>
      <family val="2"/>
      <scheme val="minor"/>
    </font>
    <font>
      <b/>
      <sz val="9"/>
      <color rgb="FF1F78C1"/>
      <name val="Arial"/>
      <family val="2"/>
    </font>
    <font>
      <i/>
      <sz val="9"/>
      <color rgb="FF222222"/>
      <name val="Arial"/>
      <family val="2"/>
    </font>
    <font>
      <sz val="9"/>
      <color rgb="FF000000"/>
      <name val="Arial"/>
      <family val="2"/>
    </font>
    <font>
      <b/>
      <sz val="9"/>
      <color rgb="FF2E7D32"/>
      <name val="Arial"/>
      <family val="2"/>
    </font>
    <font>
      <b/>
      <sz val="9"/>
      <color rgb="FFE65100"/>
      <name val="Arial"/>
      <family val="2"/>
    </font>
    <font>
      <b/>
      <sz val="9"/>
      <color rgb="FF7B2D00"/>
      <name val="Arial"/>
      <family val="2"/>
    </font>
    <font>
      <b/>
      <sz val="11"/>
      <color rgb="FFFFFFFF"/>
      <name val="Arial"/>
      <family val="2"/>
    </font>
    <font>
      <b/>
      <sz val="10"/>
      <name val="Arial"/>
      <family val="2"/>
    </font>
    <font>
      <b/>
      <sz val="10"/>
      <color rgb="FF1F78C1"/>
      <name val="Arial"/>
      <family val="2"/>
    </font>
    <font>
      <b/>
      <sz val="10"/>
      <color rgb="FF2E7D32"/>
      <name val="Arial"/>
      <family val="2"/>
    </font>
    <font>
      <b/>
      <sz val="10"/>
      <color rgb="FFE65100"/>
      <name val="Arial"/>
      <family val="2"/>
    </font>
    <font>
      <sz val="10"/>
      <name val="Arial"/>
      <family val="2"/>
    </font>
    <font>
      <b/>
      <sz val="10"/>
      <color rgb="FF1F3864"/>
      <name val="Arial"/>
      <family val="2"/>
    </font>
    <font>
      <b/>
      <sz val="10"/>
      <color rgb="FF1F5C2E"/>
      <name val="Arial"/>
      <family val="2"/>
    </font>
    <font>
      <b/>
      <sz val="10"/>
      <color rgb="FF7B2D00"/>
      <name val="Arial"/>
      <family val="2"/>
    </font>
    <font>
      <sz val="10"/>
      <color theme="1"/>
      <name val="Yu Gothic UI Regular"/>
    </font>
    <font>
      <sz val="10"/>
      <color rgb="FFFF0000"/>
      <name val="Yu Gothic UI Regular"/>
    </font>
    <font>
      <sz val="11"/>
      <color rgb="FF0070C0"/>
      <name val="Calibri"/>
      <family val="2"/>
      <scheme val="minor"/>
    </font>
    <font>
      <sz val="11"/>
      <color rgb="FFC00000"/>
      <name val="Calibri"/>
      <family val="2"/>
      <scheme val="minor"/>
    </font>
    <font>
      <b/>
      <sz val="11"/>
      <color rgb="FF0070C0"/>
      <name val="Calibri"/>
      <family val="2"/>
      <scheme val="minor"/>
    </font>
    <font>
      <b/>
      <sz val="11"/>
      <color rgb="FFC00000"/>
      <name val="Calibri"/>
      <family val="2"/>
      <scheme val="minor"/>
    </font>
    <font>
      <sz val="11"/>
      <color rgb="FFC00000"/>
      <name val="Calibri (Body)"/>
    </font>
    <font>
      <sz val="10"/>
      <color theme="0"/>
      <name val="Arial"/>
      <family val="2"/>
    </font>
    <font>
      <sz val="9"/>
      <color theme="0"/>
      <name val="Arial"/>
      <family val="2"/>
    </font>
  </fonts>
  <fills count="39">
    <fill>
      <patternFill patternType="none"/>
    </fill>
    <fill>
      <patternFill patternType="gray125"/>
    </fill>
    <fill>
      <patternFill patternType="solid">
        <fgColor rgb="FF2C3E50"/>
      </patternFill>
    </fill>
    <fill>
      <patternFill patternType="solid">
        <fgColor rgb="FFD6E4F7"/>
      </patternFill>
    </fill>
    <fill>
      <patternFill patternType="solid">
        <fgColor rgb="FFD6F0D9"/>
      </patternFill>
    </fill>
    <fill>
      <patternFill patternType="solid">
        <fgColor rgb="FFF5E6D0"/>
      </patternFill>
    </fill>
    <fill>
      <patternFill patternType="solid">
        <fgColor rgb="FFFAD9D9"/>
      </patternFill>
    </fill>
    <fill>
      <patternFill patternType="solid">
        <fgColor rgb="FFE8F0D0"/>
      </patternFill>
    </fill>
    <fill>
      <patternFill patternType="solid">
        <fgColor rgb="FFEDE0FA"/>
      </patternFill>
    </fill>
    <fill>
      <patternFill patternType="solid">
        <fgColor rgb="FFFFFFFF"/>
      </patternFill>
    </fill>
    <fill>
      <patternFill patternType="solid">
        <fgColor rgb="FFF5F5F5"/>
      </patternFill>
    </fill>
    <fill>
      <patternFill patternType="solid">
        <fgColor theme="5" tint="0.79998168889431442"/>
        <bgColor indexed="64"/>
      </patternFill>
    </fill>
    <fill>
      <patternFill patternType="solid">
        <fgColor rgb="FFF0F0C2"/>
        <bgColor indexed="64"/>
      </patternFill>
    </fill>
    <fill>
      <patternFill patternType="solid">
        <fgColor theme="9" tint="0.79998168889431442"/>
        <bgColor indexed="64"/>
      </patternFill>
    </fill>
    <fill>
      <patternFill patternType="solid">
        <fgColor rgb="FFE8F1F8"/>
        <bgColor indexed="64"/>
      </patternFill>
    </fill>
    <fill>
      <patternFill patternType="solid">
        <fgColor rgb="FFFFFF00"/>
        <bgColor indexed="64"/>
      </patternFill>
    </fill>
    <fill>
      <patternFill patternType="solid">
        <fgColor rgb="FFC3D9F0"/>
        <bgColor indexed="64"/>
      </patternFill>
    </fill>
    <fill>
      <patternFill patternType="solid">
        <fgColor theme="8" tint="0.79998168889431442"/>
        <bgColor indexed="64"/>
      </patternFill>
    </fill>
    <fill>
      <patternFill patternType="solid">
        <fgColor rgb="FFEDE0FA"/>
        <bgColor indexed="64"/>
      </patternFill>
    </fill>
    <fill>
      <patternFill patternType="solid">
        <fgColor rgb="FFF6E6D0"/>
        <bgColor indexed="64"/>
      </patternFill>
    </fill>
    <fill>
      <patternFill patternType="solid">
        <fgColor rgb="FFFBD9D9"/>
        <bgColor indexed="64"/>
      </patternFill>
    </fill>
    <fill>
      <patternFill patternType="solid">
        <fgColor theme="0" tint="-4.9989318521683403E-2"/>
        <bgColor indexed="64"/>
      </patternFill>
    </fill>
    <fill>
      <patternFill patternType="solid">
        <fgColor rgb="FFEBEBEB"/>
        <bgColor indexed="64"/>
      </patternFill>
    </fill>
    <fill>
      <patternFill patternType="solid">
        <fgColor rgb="FFD6D6D6"/>
        <bgColor indexed="64"/>
      </patternFill>
    </fill>
    <fill>
      <patternFill patternType="solid">
        <fgColor rgb="FFC1C1C1"/>
        <bgColor indexed="64"/>
      </patternFill>
    </fill>
    <fill>
      <patternFill patternType="solid">
        <fgColor rgb="FFAAAAAA"/>
        <bgColor indexed="64"/>
      </patternFill>
    </fill>
    <fill>
      <patternFill patternType="solid">
        <fgColor rgb="FF929292"/>
        <bgColor indexed="64"/>
      </patternFill>
    </fill>
    <fill>
      <patternFill patternType="solid">
        <fgColor rgb="FF797979"/>
        <bgColor indexed="64"/>
      </patternFill>
    </fill>
    <fill>
      <patternFill patternType="solid">
        <fgColor rgb="FF5E5E5E"/>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DE8D8"/>
      </patternFill>
    </fill>
    <fill>
      <patternFill patternType="solid">
        <fgColor theme="4" tint="0.79998168889431442"/>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1" tint="0.14999847407452621"/>
        <bgColor indexed="64"/>
      </patternFill>
    </fill>
  </fills>
  <borders count="46">
    <border>
      <left/>
      <right/>
      <top/>
      <bottom/>
      <diagonal/>
    </border>
    <border>
      <left style="thin">
        <color rgb="FFC0C0C0"/>
      </left>
      <right style="thin">
        <color rgb="FFC0C0C0"/>
      </right>
      <top style="thin">
        <color rgb="FFC0C0C0"/>
      </top>
      <bottom style="thin">
        <color rgb="FFC0C0C0"/>
      </bottom>
      <diagonal/>
    </border>
    <border>
      <left style="hair">
        <color auto="1"/>
      </left>
      <right style="hair">
        <color auto="1"/>
      </right>
      <top style="hair">
        <color auto="1"/>
      </top>
      <bottom style="hair">
        <color auto="1"/>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diagonal/>
    </border>
    <border>
      <left style="medium">
        <color indexed="64"/>
      </left>
      <right style="hair">
        <color indexed="64"/>
      </right>
      <top/>
      <bottom/>
      <diagonal/>
    </border>
    <border>
      <left style="hair">
        <color auto="1"/>
      </left>
      <right style="hair">
        <color auto="1"/>
      </right>
      <top/>
      <bottom/>
      <diagonal/>
    </border>
    <border>
      <left style="hair">
        <color auto="1"/>
      </left>
      <right style="medium">
        <color indexed="64"/>
      </right>
      <top/>
      <bottom/>
      <diagonal/>
    </border>
    <border>
      <left/>
      <right style="hair">
        <color auto="1"/>
      </right>
      <top/>
      <bottom/>
      <diagonal/>
    </border>
    <border>
      <left style="hair">
        <color auto="1"/>
      </left>
      <right/>
      <top/>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style="hair">
        <color indexed="64"/>
      </left>
      <right style="medium">
        <color indexed="64"/>
      </right>
      <top style="hair">
        <color indexed="64"/>
      </top>
      <bottom style="hair">
        <color indexed="64"/>
      </bottom>
      <diagonal/>
    </border>
    <border>
      <left/>
      <right style="hair">
        <color auto="1"/>
      </right>
      <top style="hair">
        <color auto="1"/>
      </top>
      <bottom style="hair">
        <color auto="1"/>
      </bottom>
      <diagonal/>
    </border>
    <border>
      <left style="medium">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hair">
        <color indexed="64"/>
      </right>
      <top style="hair">
        <color indexed="64"/>
      </top>
      <bottom style="medium">
        <color indexed="64"/>
      </bottom>
      <diagonal/>
    </border>
    <border>
      <left style="medium">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right style="hair">
        <color indexed="64"/>
      </right>
      <top/>
      <bottom style="hair">
        <color indexed="64"/>
      </bottom>
      <diagonal/>
    </border>
    <border>
      <left/>
      <right/>
      <top style="medium">
        <color indexed="64"/>
      </top>
      <bottom/>
      <diagonal/>
    </border>
    <border>
      <left style="thin">
        <color rgb="FFBFBFBF"/>
      </left>
      <right style="thin">
        <color rgb="FFBFBFBF"/>
      </right>
      <top style="thin">
        <color rgb="FFBFBFBF"/>
      </top>
      <bottom style="thin">
        <color rgb="FFBFBFBF"/>
      </bottom>
      <diagonal/>
    </border>
    <border>
      <left style="medium">
        <color indexed="64"/>
      </left>
      <right style="hair">
        <color indexed="64"/>
      </right>
      <top style="hair">
        <color indexed="64"/>
      </top>
      <bottom/>
      <diagonal/>
    </border>
    <border>
      <left style="hair">
        <color auto="1"/>
      </left>
      <right style="hair">
        <color auto="1"/>
      </right>
      <top style="hair">
        <color auto="1"/>
      </top>
      <bottom/>
      <diagonal/>
    </border>
    <border>
      <left style="hair">
        <color indexed="64"/>
      </left>
      <right style="medium">
        <color indexed="64"/>
      </right>
      <top style="hair">
        <color indexed="64"/>
      </top>
      <bottom/>
      <diagonal/>
    </border>
    <border>
      <left/>
      <right/>
      <top/>
      <bottom style="medium">
        <color indexed="64"/>
      </bottom>
      <diagonal/>
    </border>
    <border>
      <left style="medium">
        <color indexed="64"/>
      </left>
      <right style="hair">
        <color indexed="64"/>
      </right>
      <top style="thin">
        <color indexed="64"/>
      </top>
      <bottom/>
      <diagonal/>
    </border>
    <border>
      <left style="hair">
        <color auto="1"/>
      </left>
      <right style="hair">
        <color auto="1"/>
      </right>
      <top style="thin">
        <color auto="1"/>
      </top>
      <bottom style="hair">
        <color auto="1"/>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bottom style="medium">
        <color indexed="64"/>
      </bottom>
      <diagonal/>
    </border>
    <border>
      <left style="thin">
        <color rgb="FFBFBFBF"/>
      </left>
      <right style="medium">
        <color indexed="64"/>
      </right>
      <top style="thin">
        <color rgb="FFBFBFBF"/>
      </top>
      <bottom/>
      <diagonal/>
    </border>
    <border>
      <left style="thin">
        <color rgb="FFBFBFBF"/>
      </left>
      <right style="medium">
        <color indexed="64"/>
      </right>
      <top/>
      <bottom/>
      <diagonal/>
    </border>
    <border>
      <left/>
      <right style="thin">
        <color rgb="FFBFBFBF"/>
      </right>
      <top style="thin">
        <color rgb="FFBFBFBF"/>
      </top>
      <bottom/>
      <diagonal/>
    </border>
    <border>
      <left/>
      <right style="thin">
        <color rgb="FFBFBFBF"/>
      </right>
      <top/>
      <bottom/>
      <diagonal/>
    </border>
    <border>
      <left/>
      <right style="thin">
        <color rgb="FFBFBFBF"/>
      </right>
      <top/>
      <bottom style="thin">
        <color rgb="FFBFBFBF"/>
      </bottom>
      <diagonal/>
    </border>
  </borders>
  <cellStyleXfs count="2">
    <xf numFmtId="0" fontId="0" fillId="0" borderId="0"/>
    <xf numFmtId="9" fontId="19" fillId="0" borderId="0" applyFont="0" applyFill="0" applyBorder="0" applyAlignment="0" applyProtection="0"/>
  </cellStyleXfs>
  <cellXfs count="39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1" fillId="2" borderId="0" xfId="0" applyFont="1" applyFill="1" applyAlignment="1">
      <alignment horizontal="left" vertical="center"/>
    </xf>
    <xf numFmtId="0" fontId="10" fillId="2" borderId="0" xfId="0" applyFont="1" applyFill="1" applyAlignment="1">
      <alignment horizontal="left" vertical="center" wrapText="1"/>
    </xf>
    <xf numFmtId="0" fontId="11" fillId="3" borderId="0" xfId="0" applyFont="1" applyFill="1" applyAlignment="1">
      <alignment horizontal="left" vertical="center"/>
    </xf>
    <xf numFmtId="0" fontId="12" fillId="3" borderId="0" xfId="0" applyFont="1" applyFill="1" applyAlignment="1">
      <alignment horizontal="left" vertical="center" wrapText="1"/>
    </xf>
    <xf numFmtId="0" fontId="13" fillId="4" borderId="0" xfId="0" applyFont="1" applyFill="1" applyAlignment="1">
      <alignment horizontal="left" vertical="center"/>
    </xf>
    <xf numFmtId="0" fontId="12" fillId="4" borderId="0" xfId="0" applyFont="1" applyFill="1" applyAlignment="1">
      <alignment horizontal="left" vertical="center" wrapText="1"/>
    </xf>
    <xf numFmtId="0" fontId="14" fillId="5" borderId="0" xfId="0" applyFont="1" applyFill="1" applyAlignment="1">
      <alignment horizontal="left" vertical="center"/>
    </xf>
    <xf numFmtId="0" fontId="12" fillId="5" borderId="0" xfId="0" applyFont="1" applyFill="1" applyAlignment="1">
      <alignment horizontal="left" vertical="center" wrapText="1"/>
    </xf>
    <xf numFmtId="0" fontId="15" fillId="6" borderId="0" xfId="0" applyFont="1" applyFill="1" applyAlignment="1">
      <alignment horizontal="left" vertical="center"/>
    </xf>
    <xf numFmtId="0" fontId="12" fillId="6" borderId="0" xfId="0" applyFont="1" applyFill="1" applyAlignment="1">
      <alignment horizontal="left" vertical="center" wrapText="1"/>
    </xf>
    <xf numFmtId="0" fontId="16" fillId="7" borderId="0" xfId="0" applyFont="1" applyFill="1" applyAlignment="1">
      <alignment horizontal="left" vertical="center"/>
    </xf>
    <xf numFmtId="0" fontId="12" fillId="7" borderId="0" xfId="0" applyFont="1" applyFill="1" applyAlignment="1">
      <alignment horizontal="left" vertical="center" wrapText="1"/>
    </xf>
    <xf numFmtId="0" fontId="17" fillId="8" borderId="0" xfId="0" applyFont="1" applyFill="1" applyAlignment="1">
      <alignment horizontal="left" vertical="center"/>
    </xf>
    <xf numFmtId="0" fontId="12" fillId="8" borderId="0" xfId="0" applyFont="1" applyFill="1" applyAlignment="1">
      <alignment horizontal="left" vertical="center" wrapText="1"/>
    </xf>
    <xf numFmtId="0" fontId="18" fillId="9" borderId="0" xfId="0" applyFont="1" applyFill="1" applyAlignment="1">
      <alignment horizontal="left" vertical="center"/>
    </xf>
    <xf numFmtId="0" fontId="12" fillId="9" borderId="0" xfId="0" applyFont="1" applyFill="1" applyAlignment="1">
      <alignment horizontal="left" vertical="center" wrapText="1"/>
    </xf>
    <xf numFmtId="0" fontId="18" fillId="10" borderId="0" xfId="0" applyFont="1" applyFill="1" applyAlignment="1">
      <alignment horizontal="left" vertical="center"/>
    </xf>
    <xf numFmtId="0" fontId="12" fillId="10" borderId="0" xfId="0" applyFont="1" applyFill="1" applyAlignment="1">
      <alignment horizontal="left" vertical="center" wrapText="1"/>
    </xf>
    <xf numFmtId="0" fontId="22" fillId="0" borderId="2" xfId="0" applyFont="1" applyBorder="1" applyAlignment="1">
      <alignment horizontal="center" vertical="center"/>
    </xf>
    <xf numFmtId="0" fontId="23" fillId="0" borderId="2" xfId="0" applyFont="1" applyBorder="1" applyAlignment="1">
      <alignment horizontal="center" vertical="center" wrapText="1"/>
    </xf>
    <xf numFmtId="0" fontId="23" fillId="11" borderId="2" xfId="0" applyFont="1" applyFill="1" applyBorder="1" applyAlignment="1">
      <alignment horizontal="center" wrapText="1"/>
    </xf>
    <xf numFmtId="0" fontId="23" fillId="11" borderId="2" xfId="0" applyFont="1" applyFill="1" applyBorder="1" applyAlignment="1">
      <alignment horizontal="left" vertical="top" wrapText="1"/>
    </xf>
    <xf numFmtId="0" fontId="23" fillId="11" borderId="2" xfId="0" applyFont="1" applyFill="1" applyBorder="1" applyAlignment="1">
      <alignment horizontal="center" vertical="center" wrapText="1"/>
    </xf>
    <xf numFmtId="0" fontId="24" fillId="11" borderId="2" xfId="0" applyFont="1" applyFill="1" applyBorder="1" applyAlignment="1">
      <alignment horizontal="left" vertical="top" wrapText="1"/>
    </xf>
    <xf numFmtId="0" fontId="25" fillId="11" borderId="2" xfId="0" applyFont="1" applyFill="1" applyBorder="1" applyAlignment="1">
      <alignment horizontal="left" vertical="top" wrapText="1"/>
    </xf>
    <xf numFmtId="0" fontId="26" fillId="11" borderId="2" xfId="0" applyFont="1" applyFill="1" applyBorder="1" applyAlignment="1">
      <alignment horizontal="left" vertical="top" wrapText="1"/>
    </xf>
    <xf numFmtId="0" fontId="24" fillId="0" borderId="2" xfId="0" applyFont="1" applyBorder="1" applyAlignment="1">
      <alignment horizontal="center" vertical="center" wrapText="1"/>
    </xf>
    <xf numFmtId="0" fontId="24" fillId="11" borderId="2" xfId="0" applyFont="1" applyFill="1" applyBorder="1" applyAlignment="1">
      <alignment horizontal="center" vertical="center" wrapText="1"/>
    </xf>
    <xf numFmtId="0" fontId="23" fillId="12" borderId="2" xfId="0" applyFont="1" applyFill="1" applyBorder="1" applyAlignment="1">
      <alignment horizontal="center" vertical="center" wrapText="1"/>
    </xf>
    <xf numFmtId="0" fontId="23" fillId="12" borderId="2" xfId="0" applyFont="1" applyFill="1" applyBorder="1" applyAlignment="1">
      <alignment horizontal="left" vertical="top" wrapText="1"/>
    </xf>
    <xf numFmtId="0" fontId="23" fillId="12" borderId="2" xfId="0" applyFont="1" applyFill="1" applyBorder="1" applyAlignment="1">
      <alignment horizontal="center" wrapText="1"/>
    </xf>
    <xf numFmtId="0" fontId="27" fillId="12" borderId="2" xfId="0" applyFont="1" applyFill="1" applyBorder="1" applyAlignment="1">
      <alignment horizontal="left" vertical="top" wrapText="1"/>
    </xf>
    <xf numFmtId="0" fontId="23" fillId="13" borderId="2" xfId="0" applyFont="1" applyFill="1" applyBorder="1" applyAlignment="1">
      <alignment horizontal="center" wrapText="1"/>
    </xf>
    <xf numFmtId="0" fontId="23" fillId="13" borderId="2" xfId="0" applyFont="1" applyFill="1" applyBorder="1" applyAlignment="1">
      <alignment horizontal="left" vertical="top" wrapText="1"/>
    </xf>
    <xf numFmtId="0" fontId="23" fillId="13" borderId="2" xfId="0" applyFont="1" applyFill="1" applyBorder="1" applyAlignment="1">
      <alignment horizontal="center" vertical="center" wrapText="1"/>
    </xf>
    <xf numFmtId="0" fontId="27" fillId="13" borderId="2" xfId="0" applyFont="1" applyFill="1" applyBorder="1" applyAlignment="1">
      <alignment horizontal="left" vertical="top" wrapText="1"/>
    </xf>
    <xf numFmtId="0" fontId="24" fillId="13" borderId="2" xfId="0" applyFont="1" applyFill="1" applyBorder="1" applyAlignment="1">
      <alignment horizontal="left" vertical="top" wrapText="1"/>
    </xf>
    <xf numFmtId="0" fontId="25" fillId="13" borderId="2" xfId="0" applyFont="1" applyFill="1" applyBorder="1" applyAlignment="1">
      <alignment horizontal="left" vertical="top" wrapText="1"/>
    </xf>
    <xf numFmtId="0" fontId="23" fillId="14" borderId="2" xfId="0" applyFont="1" applyFill="1" applyBorder="1" applyAlignment="1">
      <alignment horizontal="center" vertical="center" wrapText="1"/>
    </xf>
    <xf numFmtId="0" fontId="23" fillId="14" borderId="2" xfId="0" applyFont="1" applyFill="1" applyBorder="1" applyAlignment="1">
      <alignment horizontal="left" vertical="top" wrapText="1"/>
    </xf>
    <xf numFmtId="0" fontId="23" fillId="14" borderId="2" xfId="0" applyFont="1" applyFill="1" applyBorder="1" applyAlignment="1">
      <alignment horizontal="center" wrapText="1"/>
    </xf>
    <xf numFmtId="0" fontId="23" fillId="0" borderId="2" xfId="0" applyFont="1" applyBorder="1" applyAlignment="1">
      <alignment vertical="center" wrapText="1"/>
    </xf>
    <xf numFmtId="0" fontId="23" fillId="14" borderId="2" xfId="0" quotePrefix="1" applyFont="1" applyFill="1" applyBorder="1" applyAlignment="1">
      <alignment horizontal="left" vertical="top" wrapText="1"/>
    </xf>
    <xf numFmtId="0" fontId="24" fillId="14" borderId="2" xfId="0" applyFont="1" applyFill="1" applyBorder="1" applyAlignment="1">
      <alignment horizontal="left" vertical="top" wrapText="1"/>
    </xf>
    <xf numFmtId="0" fontId="23" fillId="15" borderId="2" xfId="0" applyFont="1" applyFill="1" applyBorder="1" applyAlignment="1">
      <alignment horizontal="center" vertical="center" wrapText="1"/>
    </xf>
    <xf numFmtId="0" fontId="27" fillId="14" borderId="2" xfId="0" applyFont="1" applyFill="1" applyBorder="1" applyAlignment="1">
      <alignment horizontal="left" vertical="top" wrapText="1"/>
    </xf>
    <xf numFmtId="0" fontId="23" fillId="16" borderId="2" xfId="0" applyFont="1" applyFill="1" applyBorder="1" applyAlignment="1">
      <alignment horizontal="center" wrapText="1"/>
    </xf>
    <xf numFmtId="0" fontId="23" fillId="16" borderId="2" xfId="0" applyFont="1" applyFill="1" applyBorder="1" applyAlignment="1">
      <alignment horizontal="left" vertical="top" wrapText="1"/>
    </xf>
    <xf numFmtId="0" fontId="23" fillId="16" borderId="2" xfId="0" applyFont="1" applyFill="1" applyBorder="1" applyAlignment="1">
      <alignment horizontal="center" vertical="center" wrapText="1"/>
    </xf>
    <xf numFmtId="0" fontId="24" fillId="16" borderId="2" xfId="0" applyFont="1" applyFill="1" applyBorder="1" applyAlignment="1">
      <alignment horizontal="left" vertical="top" wrapText="1"/>
    </xf>
    <xf numFmtId="0" fontId="27" fillId="16" borderId="2" xfId="0" applyFont="1" applyFill="1" applyBorder="1" applyAlignment="1">
      <alignment horizontal="left" vertical="top" wrapText="1"/>
    </xf>
    <xf numFmtId="0" fontId="23" fillId="17" borderId="2" xfId="0" applyFont="1" applyFill="1" applyBorder="1" applyAlignment="1">
      <alignment horizontal="center" vertical="center" wrapText="1"/>
    </xf>
    <xf numFmtId="0" fontId="23" fillId="17" borderId="2" xfId="0" applyFont="1" applyFill="1" applyBorder="1" applyAlignment="1">
      <alignment horizontal="left" vertical="top" wrapText="1"/>
    </xf>
    <xf numFmtId="0" fontId="27" fillId="17" borderId="2" xfId="0" applyFont="1" applyFill="1" applyBorder="1" applyAlignment="1">
      <alignment horizontal="left" vertical="top" wrapText="1"/>
    </xf>
    <xf numFmtId="0" fontId="24" fillId="12" borderId="2" xfId="0" applyFont="1" applyFill="1" applyBorder="1" applyAlignment="1">
      <alignment horizontal="left" vertical="top" wrapText="1"/>
    </xf>
    <xf numFmtId="0" fontId="23" fillId="16" borderId="2" xfId="0" applyFont="1" applyFill="1" applyBorder="1" applyAlignment="1">
      <alignment horizontal="center" vertical="top" wrapText="1"/>
    </xf>
    <xf numFmtId="0" fontId="26" fillId="16" borderId="2" xfId="0" applyFont="1" applyFill="1" applyBorder="1" applyAlignment="1">
      <alignment horizontal="left" vertical="top" wrapText="1"/>
    </xf>
    <xf numFmtId="0" fontId="23" fillId="17" borderId="2" xfId="0" applyFont="1" applyFill="1" applyBorder="1" applyAlignment="1">
      <alignment horizontal="center" wrapText="1"/>
    </xf>
    <xf numFmtId="0" fontId="24" fillId="17" borderId="2" xfId="0" applyFont="1" applyFill="1" applyBorder="1" applyAlignment="1">
      <alignment horizontal="left" vertical="top" wrapText="1"/>
    </xf>
    <xf numFmtId="0" fontId="27" fillId="11" borderId="2" xfId="0" applyFont="1" applyFill="1" applyBorder="1" applyAlignment="1">
      <alignment horizontal="left" vertical="top" wrapText="1"/>
    </xf>
    <xf numFmtId="0" fontId="24" fillId="12" borderId="2" xfId="0" applyFont="1" applyFill="1" applyBorder="1" applyAlignment="1">
      <alignment horizontal="center" vertical="center" wrapText="1"/>
    </xf>
    <xf numFmtId="0" fontId="24" fillId="13" borderId="2" xfId="0" applyFont="1" applyFill="1" applyBorder="1" applyAlignment="1">
      <alignment horizontal="center" vertical="center" wrapText="1"/>
    </xf>
    <xf numFmtId="0" fontId="24" fillId="14" borderId="2" xfId="0" applyFont="1" applyFill="1" applyBorder="1" applyAlignment="1">
      <alignment horizontal="center" vertical="center" wrapText="1"/>
    </xf>
    <xf numFmtId="0" fontId="28" fillId="14" borderId="2" xfId="0" applyFont="1" applyFill="1" applyBorder="1" applyAlignment="1">
      <alignment horizontal="left" vertical="top" wrapText="1"/>
    </xf>
    <xf numFmtId="0" fontId="24" fillId="16" borderId="2" xfId="0" applyFont="1" applyFill="1" applyBorder="1" applyAlignment="1">
      <alignment horizontal="center" vertical="center" wrapText="1"/>
    </xf>
    <xf numFmtId="0" fontId="28" fillId="16" borderId="2" xfId="0" applyFont="1" applyFill="1" applyBorder="1" applyAlignment="1">
      <alignment horizontal="left" vertical="top" wrapText="1"/>
    </xf>
    <xf numFmtId="0" fontId="3" fillId="18" borderId="1" xfId="0" applyFont="1" applyFill="1" applyBorder="1" applyAlignment="1">
      <alignment horizontal="left" vertical="top" wrapText="1"/>
    </xf>
    <xf numFmtId="0" fontId="6" fillId="18" borderId="1" xfId="0" applyFont="1" applyFill="1" applyBorder="1" applyAlignment="1">
      <alignment horizontal="left" vertical="top" wrapText="1"/>
    </xf>
    <xf numFmtId="0" fontId="29" fillId="16" borderId="2" xfId="0" applyFont="1" applyFill="1" applyBorder="1" applyAlignment="1">
      <alignment horizontal="left" vertical="top" wrapText="1"/>
    </xf>
    <xf numFmtId="0" fontId="24" fillId="17" borderId="2" xfId="0" applyFont="1" applyFill="1" applyBorder="1" applyAlignment="1">
      <alignment horizontal="center" vertical="center" wrapText="1"/>
    </xf>
    <xf numFmtId="0" fontId="29" fillId="17" borderId="2" xfId="0" applyFont="1" applyFill="1" applyBorder="1" applyAlignment="1">
      <alignment horizontal="left" vertical="top" wrapText="1"/>
    </xf>
    <xf numFmtId="0" fontId="23" fillId="0" borderId="2" xfId="0" applyFont="1" applyBorder="1" applyAlignment="1">
      <alignment vertical="center"/>
    </xf>
    <xf numFmtId="0" fontId="23" fillId="0" borderId="2" xfId="0" applyFont="1" applyBorder="1" applyAlignment="1">
      <alignment horizontal="center" vertical="center"/>
    </xf>
    <xf numFmtId="0" fontId="23" fillId="0" borderId="2" xfId="0" applyFont="1" applyBorder="1" applyAlignment="1">
      <alignment vertical="top"/>
    </xf>
    <xf numFmtId="0" fontId="23" fillId="0" borderId="0" xfId="0" applyFont="1"/>
    <xf numFmtId="0" fontId="2" fillId="18" borderId="1" xfId="0" applyFont="1" applyFill="1" applyBorder="1" applyAlignment="1">
      <alignment horizontal="left" vertical="top" wrapText="1"/>
    </xf>
    <xf numFmtId="0" fontId="30" fillId="20" borderId="1" xfId="0" applyFont="1" applyFill="1" applyBorder="1" applyAlignment="1">
      <alignment horizontal="left" vertical="top" wrapText="1"/>
    </xf>
    <xf numFmtId="0" fontId="26" fillId="17" borderId="2" xfId="0" applyFont="1" applyFill="1" applyBorder="1" applyAlignment="1">
      <alignment horizontal="left" vertical="top" wrapText="1"/>
    </xf>
    <xf numFmtId="0" fontId="26" fillId="12" borderId="2" xfId="0" applyFont="1" applyFill="1" applyBorder="1" applyAlignment="1">
      <alignment horizontal="left" vertical="top" wrapText="1"/>
    </xf>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17" fontId="21" fillId="29" borderId="0" xfId="0" applyNumberFormat="1" applyFont="1" applyFill="1"/>
    <xf numFmtId="0" fontId="0" fillId="0" borderId="6" xfId="0" applyBorder="1" applyAlignment="1">
      <alignment horizontal="center"/>
    </xf>
    <xf numFmtId="0" fontId="0" fillId="0" borderId="0" xfId="0" applyAlignment="1">
      <alignment horizont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3" xfId="0" applyBorder="1" applyAlignment="1">
      <alignment vertical="center"/>
    </xf>
    <xf numFmtId="0" fontId="21" fillId="29" borderId="12" xfId="0" applyFont="1" applyFill="1" applyBorder="1" applyAlignment="1">
      <alignment horizontal="center" vertical="center"/>
    </xf>
    <xf numFmtId="0" fontId="0" fillId="0" borderId="14" xfId="0" applyBorder="1" applyAlignment="1">
      <alignment horizontal="center" vertical="center"/>
    </xf>
    <xf numFmtId="0" fontId="0" fillId="30" borderId="15" xfId="0" applyFill="1" applyBorder="1" applyAlignment="1">
      <alignment horizontal="center" vertical="center"/>
    </xf>
    <xf numFmtId="0" fontId="0" fillId="21" borderId="16" xfId="0" applyFill="1" applyBorder="1" applyAlignment="1">
      <alignment horizontal="center" vertical="center"/>
    </xf>
    <xf numFmtId="0" fontId="0" fillId="0" borderId="13" xfId="0" applyBorder="1" applyAlignment="1">
      <alignment horizontal="center" vertical="center"/>
    </xf>
    <xf numFmtId="0" fontId="0" fillId="0" borderId="12" xfId="0" applyBorder="1" applyAlignment="1">
      <alignment horizontal="center" vertical="center"/>
    </xf>
    <xf numFmtId="0" fontId="0" fillId="21" borderId="14" xfId="0"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0" xfId="0" applyAlignment="1">
      <alignment vertical="center"/>
    </xf>
    <xf numFmtId="0" fontId="0" fillId="0" borderId="18" xfId="0" applyBorder="1" applyAlignment="1">
      <alignment vertical="center"/>
    </xf>
    <xf numFmtId="0" fontId="0" fillId="21" borderId="17" xfId="0" applyFill="1" applyBorder="1" applyAlignment="1">
      <alignment horizontal="center" vertical="center"/>
    </xf>
    <xf numFmtId="0" fontId="0" fillId="21" borderId="2" xfId="0" applyFill="1" applyBorder="1" applyAlignment="1">
      <alignment horizontal="center" vertical="center"/>
    </xf>
    <xf numFmtId="0" fontId="0" fillId="21" borderId="19" xfId="0" applyFill="1" applyBorder="1" applyAlignment="1">
      <alignment horizontal="center" vertical="center"/>
    </xf>
    <xf numFmtId="0" fontId="0" fillId="0" borderId="20" xfId="0" applyBorder="1" applyAlignment="1">
      <alignment horizontal="center" vertical="center"/>
    </xf>
    <xf numFmtId="0" fontId="0" fillId="0" borderId="2" xfId="0" applyBorder="1" applyAlignment="1">
      <alignment horizontal="center" vertical="center"/>
    </xf>
    <xf numFmtId="0" fontId="0" fillId="31" borderId="18" xfId="0" applyFill="1" applyBorder="1" applyAlignment="1">
      <alignment horizontal="center" vertical="center"/>
    </xf>
    <xf numFmtId="0" fontId="0" fillId="31" borderId="17" xfId="0" applyFill="1" applyBorder="1" applyAlignment="1">
      <alignment horizontal="center" vertical="center"/>
    </xf>
    <xf numFmtId="0" fontId="0" fillId="24" borderId="2" xfId="0" applyFill="1" applyBorder="1" applyAlignment="1">
      <alignment horizontal="center" vertical="center"/>
    </xf>
    <xf numFmtId="0" fontId="0" fillId="31" borderId="20" xfId="0" applyFill="1" applyBorder="1" applyAlignment="1">
      <alignment horizontal="center" vertical="center"/>
    </xf>
    <xf numFmtId="0" fontId="0" fillId="0" borderId="19" xfId="0" applyBorder="1" applyAlignment="1">
      <alignment horizontal="center" vertical="center"/>
    </xf>
    <xf numFmtId="0" fontId="0" fillId="25" borderId="2" xfId="0" applyFill="1" applyBorder="1" applyAlignment="1">
      <alignment horizontal="center" vertical="center"/>
    </xf>
    <xf numFmtId="0" fontId="0" fillId="25" borderId="18" xfId="0" applyFill="1" applyBorder="1" applyAlignment="1">
      <alignment horizontal="center" vertical="center"/>
    </xf>
    <xf numFmtId="0" fontId="0" fillId="0" borderId="17" xfId="0" applyBorder="1" applyAlignment="1">
      <alignment horizontal="center" vertical="center"/>
    </xf>
    <xf numFmtId="0" fontId="0" fillId="21" borderId="20" xfId="0" applyFill="1" applyBorder="1" applyAlignment="1">
      <alignment horizontal="center" vertical="center"/>
    </xf>
    <xf numFmtId="0" fontId="0" fillId="0" borderId="18" xfId="0" applyBorder="1" applyAlignment="1">
      <alignment horizontal="center" vertical="center"/>
    </xf>
    <xf numFmtId="0" fontId="0" fillId="0" borderId="22" xfId="0" applyBorder="1" applyAlignment="1">
      <alignment vertical="center"/>
    </xf>
    <xf numFmtId="0" fontId="0" fillId="0" borderId="21"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21" borderId="23" xfId="0" applyFill="1" applyBorder="1" applyAlignment="1">
      <alignment horizontal="center" vertical="center"/>
    </xf>
    <xf numFmtId="0" fontId="0" fillId="31" borderId="22" xfId="0" applyFill="1" applyBorder="1" applyAlignment="1">
      <alignment horizontal="center" vertical="center"/>
    </xf>
    <xf numFmtId="0" fontId="0" fillId="0" borderId="22" xfId="0" applyBorder="1" applyAlignment="1">
      <alignment horizontal="center" vertical="center"/>
    </xf>
    <xf numFmtId="0" fontId="0" fillId="21" borderId="21" xfId="0" applyFill="1" applyBorder="1" applyAlignment="1">
      <alignment horizontal="center" vertical="center"/>
    </xf>
    <xf numFmtId="0" fontId="0" fillId="26" borderId="12" xfId="0" applyFill="1" applyBorder="1" applyAlignment="1">
      <alignment horizontal="center" vertical="center"/>
    </xf>
    <xf numFmtId="0" fontId="0" fillId="26" borderId="14" xfId="0" applyFill="1" applyBorder="1" applyAlignment="1">
      <alignment horizontal="center" vertical="center"/>
    </xf>
    <xf numFmtId="0" fontId="21" fillId="29" borderId="15" xfId="0" applyFont="1" applyFill="1" applyBorder="1" applyAlignment="1">
      <alignment horizontal="center" vertical="center"/>
    </xf>
    <xf numFmtId="0" fontId="0" fillId="31" borderId="12" xfId="0" applyFill="1" applyBorder="1" applyAlignment="1">
      <alignment horizontal="center" vertical="center"/>
    </xf>
    <xf numFmtId="0" fontId="0" fillId="21" borderId="12" xfId="0" applyFill="1" applyBorder="1" applyAlignment="1">
      <alignment horizontal="center" vertical="center"/>
    </xf>
    <xf numFmtId="0" fontId="0" fillId="21" borderId="15" xfId="0" applyFill="1" applyBorder="1" applyAlignment="1">
      <alignment horizontal="center" vertical="center"/>
    </xf>
    <xf numFmtId="0" fontId="0" fillId="24" borderId="17" xfId="0" applyFill="1" applyBorder="1" applyAlignment="1">
      <alignment horizontal="center" vertical="center"/>
    </xf>
    <xf numFmtId="0" fontId="0" fillId="26" borderId="2" xfId="0" applyFill="1" applyBorder="1" applyAlignment="1">
      <alignment horizontal="center" vertical="center"/>
    </xf>
    <xf numFmtId="0" fontId="0" fillId="25" borderId="17" xfId="0" applyFill="1" applyBorder="1" applyAlignment="1">
      <alignment horizontal="center" vertical="center"/>
    </xf>
    <xf numFmtId="0" fontId="0" fillId="25" borderId="20" xfId="0" applyFill="1" applyBorder="1" applyAlignment="1">
      <alignment horizontal="center" vertical="center"/>
    </xf>
    <xf numFmtId="0" fontId="0" fillId="31" borderId="19" xfId="0" applyFill="1" applyBorder="1" applyAlignment="1">
      <alignment horizontal="center" vertical="center"/>
    </xf>
    <xf numFmtId="0" fontId="0" fillId="24" borderId="18" xfId="0" applyFill="1" applyBorder="1" applyAlignment="1">
      <alignment horizontal="center" vertical="center"/>
    </xf>
    <xf numFmtId="0" fontId="0" fillId="22" borderId="25" xfId="0" applyFill="1" applyBorder="1" applyAlignment="1">
      <alignment horizontal="center" vertical="center"/>
    </xf>
    <xf numFmtId="0" fontId="0" fillId="24" borderId="23" xfId="0" applyFill="1" applyBorder="1" applyAlignment="1">
      <alignment horizontal="center" vertical="center"/>
    </xf>
    <xf numFmtId="0" fontId="0" fillId="31" borderId="24" xfId="0" applyFill="1" applyBorder="1" applyAlignment="1">
      <alignment horizontal="center" vertical="center"/>
    </xf>
    <xf numFmtId="0" fontId="0" fillId="21" borderId="25" xfId="0" applyFill="1" applyBorder="1" applyAlignment="1">
      <alignment horizontal="center" vertical="center"/>
    </xf>
    <xf numFmtId="0" fontId="0" fillId="21" borderId="22" xfId="0" applyFill="1" applyBorder="1" applyAlignment="1">
      <alignment horizontal="center" vertical="center"/>
    </xf>
    <xf numFmtId="0" fontId="0" fillId="21" borderId="24" xfId="0" applyFill="1" applyBorder="1" applyAlignment="1">
      <alignment horizontal="center" vertical="center"/>
    </xf>
    <xf numFmtId="0" fontId="0" fillId="0" borderId="27" xfId="0" applyBorder="1" applyAlignment="1">
      <alignment vertical="center"/>
    </xf>
    <xf numFmtId="0" fontId="0" fillId="25" borderId="26" xfId="0" applyFill="1" applyBorder="1" applyAlignment="1">
      <alignment horizontal="center" vertical="center"/>
    </xf>
    <xf numFmtId="0" fontId="0" fillId="24" borderId="28" xfId="0" applyFill="1" applyBorder="1" applyAlignment="1">
      <alignment horizontal="center" vertical="center"/>
    </xf>
    <xf numFmtId="0" fontId="0" fillId="31" borderId="29" xfId="0" applyFill="1" applyBorder="1" applyAlignment="1">
      <alignment horizontal="center" vertical="center"/>
    </xf>
    <xf numFmtId="0" fontId="0" fillId="0" borderId="30" xfId="0" applyBorder="1" applyAlignment="1">
      <alignment horizontal="center" vertical="center"/>
    </xf>
    <xf numFmtId="0" fontId="0" fillId="0" borderId="28" xfId="0" applyBorder="1" applyAlignment="1">
      <alignment horizontal="center" vertical="center"/>
    </xf>
    <xf numFmtId="0" fontId="0" fillId="0" borderId="27" xfId="0" applyBorder="1" applyAlignment="1">
      <alignment horizontal="center" vertical="center"/>
    </xf>
    <xf numFmtId="0" fontId="0" fillId="0" borderId="26" xfId="0" applyBorder="1" applyAlignment="1">
      <alignment horizontal="center" vertical="center"/>
    </xf>
    <xf numFmtId="0" fontId="0" fillId="21" borderId="29" xfId="0" applyFill="1" applyBorder="1" applyAlignment="1">
      <alignment horizontal="center" vertical="center"/>
    </xf>
    <xf numFmtId="0" fontId="0" fillId="21" borderId="30" xfId="0" applyFill="1" applyBorder="1" applyAlignment="1">
      <alignment horizontal="center" vertical="center"/>
    </xf>
    <xf numFmtId="0" fontId="0" fillId="21" borderId="26" xfId="0" applyFill="1" applyBorder="1" applyAlignment="1">
      <alignment horizontal="center" vertical="center"/>
    </xf>
    <xf numFmtId="0" fontId="0" fillId="0" borderId="29" xfId="0" applyBorder="1" applyAlignment="1">
      <alignment horizontal="center" vertical="center"/>
    </xf>
    <xf numFmtId="0" fontId="0" fillId="26" borderId="17" xfId="0" applyFill="1" applyBorder="1" applyAlignment="1">
      <alignment horizontal="center" vertical="center"/>
    </xf>
    <xf numFmtId="0" fontId="0" fillId="31" borderId="2" xfId="0" applyFill="1" applyBorder="1" applyAlignment="1">
      <alignment horizontal="center" vertical="center"/>
    </xf>
    <xf numFmtId="0" fontId="21" fillId="29" borderId="2" xfId="0" applyFont="1" applyFill="1" applyBorder="1" applyAlignment="1">
      <alignment horizontal="center" vertical="center"/>
    </xf>
    <xf numFmtId="0" fontId="0" fillId="21" borderId="18" xfId="0" applyFill="1" applyBorder="1" applyAlignment="1">
      <alignment horizontal="center" vertical="center"/>
    </xf>
    <xf numFmtId="0" fontId="0" fillId="31" borderId="23" xfId="0" applyFill="1" applyBorder="1" applyAlignment="1">
      <alignment horizontal="center" vertical="center"/>
    </xf>
    <xf numFmtId="0" fontId="0" fillId="22" borderId="2" xfId="0" applyFill="1" applyBorder="1" applyAlignment="1">
      <alignment horizontal="center" vertical="center"/>
    </xf>
    <xf numFmtId="0" fontId="0" fillId="22" borderId="18" xfId="0" applyFill="1" applyBorder="1" applyAlignment="1">
      <alignment horizontal="center" vertical="center"/>
    </xf>
    <xf numFmtId="0" fontId="0" fillId="22" borderId="12" xfId="0" applyFill="1" applyBorder="1" applyAlignment="1">
      <alignment horizontal="center" vertical="center"/>
    </xf>
    <xf numFmtId="0" fontId="0" fillId="22" borderId="17" xfId="0" applyFill="1" applyBorder="1" applyAlignment="1">
      <alignment horizontal="center" vertical="center"/>
    </xf>
    <xf numFmtId="0" fontId="0" fillId="22" borderId="20" xfId="0" applyFill="1" applyBorder="1" applyAlignment="1">
      <alignment horizontal="center" vertical="center"/>
    </xf>
    <xf numFmtId="0" fontId="0" fillId="22" borderId="19" xfId="0" applyFill="1" applyBorder="1" applyAlignment="1">
      <alignment horizontal="center" vertical="center"/>
    </xf>
    <xf numFmtId="0" fontId="0" fillId="22" borderId="24" xfId="0" applyFill="1" applyBorder="1" applyAlignment="1">
      <alignment horizontal="center" vertical="center"/>
    </xf>
    <xf numFmtId="0" fontId="0" fillId="19" borderId="0" xfId="0" applyFill="1" applyAlignment="1">
      <alignment vertical="center"/>
    </xf>
    <xf numFmtId="0" fontId="0" fillId="0" borderId="0" xfId="0" applyAlignment="1">
      <alignment horizontal="center" vertical="center"/>
    </xf>
    <xf numFmtId="0" fontId="1" fillId="2" borderId="32" xfId="0" applyFont="1" applyFill="1" applyBorder="1" applyAlignment="1">
      <alignment horizontal="center" vertical="center" wrapText="1"/>
    </xf>
    <xf numFmtId="0" fontId="33" fillId="3" borderId="32" xfId="0" applyFont="1" applyFill="1" applyBorder="1" applyAlignment="1">
      <alignment horizontal="center" vertical="top"/>
    </xf>
    <xf numFmtId="0" fontId="34" fillId="3" borderId="32" xfId="0" applyFont="1" applyFill="1" applyBorder="1" applyAlignment="1">
      <alignment horizontal="left" vertical="top" wrapText="1"/>
    </xf>
    <xf numFmtId="0" fontId="35" fillId="3" borderId="32" xfId="0" applyFont="1" applyFill="1" applyBorder="1" applyAlignment="1">
      <alignment horizontal="left" vertical="top" wrapText="1"/>
    </xf>
    <xf numFmtId="0" fontId="4" fillId="3" borderId="32" xfId="0" applyFont="1" applyFill="1" applyBorder="1" applyAlignment="1">
      <alignment horizontal="left" vertical="top" wrapText="1"/>
    </xf>
    <xf numFmtId="0" fontId="36" fillId="3" borderId="32" xfId="0" applyFont="1" applyFill="1" applyBorder="1" applyAlignment="1">
      <alignment horizontal="center" vertical="top"/>
    </xf>
    <xf numFmtId="0" fontId="37" fillId="3" borderId="32" xfId="0" applyFont="1" applyFill="1" applyBorder="1" applyAlignment="1">
      <alignment horizontal="center" vertical="top"/>
    </xf>
    <xf numFmtId="0" fontId="33" fillId="4" borderId="32" xfId="0" applyFont="1" applyFill="1" applyBorder="1" applyAlignment="1">
      <alignment horizontal="center" vertical="top"/>
    </xf>
    <xf numFmtId="0" fontId="34" fillId="4" borderId="32" xfId="0" applyFont="1" applyFill="1" applyBorder="1" applyAlignment="1">
      <alignment horizontal="left" vertical="top" wrapText="1"/>
    </xf>
    <xf numFmtId="0" fontId="35" fillId="4" borderId="32" xfId="0" applyFont="1" applyFill="1" applyBorder="1" applyAlignment="1">
      <alignment horizontal="left" vertical="top" wrapText="1"/>
    </xf>
    <xf numFmtId="0" fontId="5" fillId="4" borderId="32" xfId="0" applyFont="1" applyFill="1" applyBorder="1" applyAlignment="1">
      <alignment horizontal="left" vertical="top" wrapText="1"/>
    </xf>
    <xf numFmtId="0" fontId="36" fillId="4" borderId="32" xfId="0" applyFont="1" applyFill="1" applyBorder="1" applyAlignment="1">
      <alignment horizontal="center" vertical="top"/>
    </xf>
    <xf numFmtId="0" fontId="37" fillId="4" borderId="32" xfId="0" applyFont="1" applyFill="1" applyBorder="1" applyAlignment="1">
      <alignment horizontal="center" vertical="top"/>
    </xf>
    <xf numFmtId="0" fontId="33" fillId="32" borderId="32" xfId="0" applyFont="1" applyFill="1" applyBorder="1" applyAlignment="1">
      <alignment horizontal="center" vertical="top"/>
    </xf>
    <xf numFmtId="0" fontId="34" fillId="32" borderId="32" xfId="0" applyFont="1" applyFill="1" applyBorder="1" applyAlignment="1">
      <alignment horizontal="left" vertical="top" wrapText="1"/>
    </xf>
    <xf numFmtId="0" fontId="35" fillId="32" borderId="32" xfId="0" applyFont="1" applyFill="1" applyBorder="1" applyAlignment="1">
      <alignment horizontal="left" vertical="top" wrapText="1"/>
    </xf>
    <xf numFmtId="0" fontId="38" fillId="32" borderId="32" xfId="0" applyFont="1" applyFill="1" applyBorder="1" applyAlignment="1">
      <alignment horizontal="left" vertical="top" wrapText="1"/>
    </xf>
    <xf numFmtId="0" fontId="36" fillId="32" borderId="32" xfId="0" applyFont="1" applyFill="1" applyBorder="1" applyAlignment="1">
      <alignment horizontal="center" vertical="top"/>
    </xf>
    <xf numFmtId="0" fontId="37" fillId="32" borderId="32" xfId="0" applyFont="1" applyFill="1" applyBorder="1" applyAlignment="1">
      <alignment horizontal="center" vertical="top"/>
    </xf>
    <xf numFmtId="0" fontId="39" fillId="2" borderId="0" xfId="0" applyFont="1" applyFill="1" applyAlignment="1">
      <alignment horizontal="left" vertical="center"/>
    </xf>
    <xf numFmtId="0" fontId="0" fillId="2" borderId="0" xfId="0" applyFill="1" applyAlignment="1">
      <alignment horizontal="left" vertical="center" wrapText="1"/>
    </xf>
    <xf numFmtId="0" fontId="40" fillId="0" borderId="0" xfId="0" applyFont="1" applyAlignment="1">
      <alignment horizontal="left" vertical="center"/>
    </xf>
    <xf numFmtId="0" fontId="0" fillId="0" borderId="0" xfId="0" applyAlignment="1">
      <alignment horizontal="left" vertical="center" wrapText="1"/>
    </xf>
    <xf numFmtId="0" fontId="41" fillId="10" borderId="0" xfId="0" applyFont="1" applyFill="1" applyAlignment="1">
      <alignment horizontal="left" vertical="center"/>
    </xf>
    <xf numFmtId="0" fontId="42" fillId="10" borderId="0" xfId="0" applyFont="1" applyFill="1" applyAlignment="1">
      <alignment horizontal="left" vertical="center"/>
    </xf>
    <xf numFmtId="0" fontId="43" fillId="10" borderId="0" xfId="0" applyFont="1" applyFill="1" applyAlignment="1">
      <alignment horizontal="left" vertical="center"/>
    </xf>
    <xf numFmtId="0" fontId="44" fillId="0" borderId="0" xfId="0" applyFont="1" applyAlignment="1">
      <alignment horizontal="left" vertical="center"/>
    </xf>
    <xf numFmtId="0" fontId="12" fillId="0" borderId="0" xfId="0" applyFont="1" applyAlignment="1">
      <alignment horizontal="left" vertical="center" wrapText="1"/>
    </xf>
    <xf numFmtId="0" fontId="45" fillId="3" borderId="0" xfId="0" applyFont="1" applyFill="1" applyAlignment="1">
      <alignment horizontal="left" vertical="center"/>
    </xf>
    <xf numFmtId="0" fontId="46" fillId="4" borderId="0" xfId="0" applyFont="1" applyFill="1" applyAlignment="1">
      <alignment horizontal="left" vertical="center"/>
    </xf>
    <xf numFmtId="0" fontId="47" fillId="32" borderId="0" xfId="0" applyFont="1" applyFill="1" applyAlignment="1">
      <alignment horizontal="left" vertical="center"/>
    </xf>
    <xf numFmtId="0" fontId="0" fillId="0" borderId="0" xfId="0" applyAlignment="1">
      <alignment wrapText="1"/>
    </xf>
    <xf numFmtId="0" fontId="0" fillId="0" borderId="0" xfId="0" applyAlignment="1">
      <alignment vertical="top"/>
    </xf>
    <xf numFmtId="0" fontId="20" fillId="0" borderId="0" xfId="0" applyFont="1"/>
    <xf numFmtId="0" fontId="0" fillId="0" borderId="17" xfId="0" applyBorder="1"/>
    <xf numFmtId="0" fontId="0" fillId="0" borderId="2" xfId="0" applyBorder="1"/>
    <xf numFmtId="0" fontId="0" fillId="0" borderId="19" xfId="0" applyBorder="1"/>
    <xf numFmtId="0" fontId="0" fillId="0" borderId="33" xfId="0" applyBorder="1"/>
    <xf numFmtId="0" fontId="0" fillId="0" borderId="34" xfId="0" applyBorder="1"/>
    <xf numFmtId="0" fontId="0" fillId="0" borderId="35" xfId="0" applyBorder="1"/>
    <xf numFmtId="0" fontId="23" fillId="0" borderId="2" xfId="0" applyFont="1" applyBorder="1" applyAlignment="1">
      <alignment horizontal="left" vertical="top" wrapText="1"/>
    </xf>
    <xf numFmtId="0" fontId="23" fillId="12" borderId="17" xfId="0" applyFont="1" applyFill="1" applyBorder="1"/>
    <xf numFmtId="0" fontId="23" fillId="12" borderId="2" xfId="0" applyFont="1" applyFill="1" applyBorder="1"/>
    <xf numFmtId="0" fontId="23" fillId="0" borderId="19" xfId="0" applyFont="1" applyBorder="1"/>
    <xf numFmtId="0" fontId="0" fillId="12" borderId="17" xfId="0" applyFill="1" applyBorder="1"/>
    <xf numFmtId="0" fontId="0" fillId="12" borderId="2" xfId="0" applyFill="1" applyBorder="1"/>
    <xf numFmtId="0" fontId="23" fillId="0" borderId="2" xfId="0" applyFont="1" applyBorder="1"/>
    <xf numFmtId="0" fontId="48" fillId="12" borderId="17" xfId="0" applyFont="1" applyFill="1" applyBorder="1" applyAlignment="1">
      <alignment vertical="top"/>
    </xf>
    <xf numFmtId="0" fontId="48" fillId="12" borderId="2" xfId="0" applyFont="1" applyFill="1" applyBorder="1" applyAlignment="1">
      <alignment vertical="top"/>
    </xf>
    <xf numFmtId="9" fontId="0" fillId="0" borderId="2" xfId="1" applyFont="1" applyBorder="1"/>
    <xf numFmtId="0" fontId="0" fillId="12" borderId="0" xfId="0" applyFill="1"/>
    <xf numFmtId="0" fontId="20" fillId="12" borderId="17" xfId="0" applyFont="1" applyFill="1" applyBorder="1"/>
    <xf numFmtId="0" fontId="20" fillId="12" borderId="2" xfId="0" applyFont="1" applyFill="1" applyBorder="1"/>
    <xf numFmtId="0" fontId="49" fillId="12" borderId="2" xfId="0" applyFont="1" applyFill="1" applyBorder="1" applyAlignment="1">
      <alignment vertical="top" wrapText="1"/>
    </xf>
    <xf numFmtId="0" fontId="23" fillId="0" borderId="0" xfId="0" applyFont="1" applyAlignment="1">
      <alignment horizontal="left" vertical="top" wrapText="1"/>
    </xf>
    <xf numFmtId="0" fontId="49" fillId="12" borderId="2" xfId="0" applyFont="1" applyFill="1" applyBorder="1" applyAlignment="1">
      <alignment vertical="top"/>
    </xf>
    <xf numFmtId="0" fontId="20" fillId="12" borderId="0" xfId="0" applyFont="1" applyFill="1"/>
    <xf numFmtId="0" fontId="23" fillId="0" borderId="6" xfId="0" applyFont="1" applyBorder="1" applyAlignment="1">
      <alignment horizontal="left" vertical="top" wrapText="1"/>
    </xf>
    <xf numFmtId="0" fontId="24" fillId="0" borderId="6" xfId="0" applyFont="1" applyBorder="1" applyAlignment="1">
      <alignment horizontal="left" vertical="top" wrapText="1"/>
    </xf>
    <xf numFmtId="0" fontId="24" fillId="0" borderId="2" xfId="0" applyFont="1" applyBorder="1" applyAlignment="1">
      <alignment horizontal="left" vertical="top" wrapText="1"/>
    </xf>
    <xf numFmtId="0" fontId="0" fillId="0" borderId="6" xfId="0" applyBorder="1"/>
    <xf numFmtId="0" fontId="20" fillId="0" borderId="2" xfId="0" applyFont="1" applyBorder="1"/>
    <xf numFmtId="0" fontId="23" fillId="0" borderId="17" xfId="0" applyFont="1" applyBorder="1"/>
    <xf numFmtId="0" fontId="24" fillId="0" borderId="2" xfId="0" applyFont="1" applyBorder="1" applyAlignment="1">
      <alignment vertical="top"/>
    </xf>
    <xf numFmtId="0" fontId="20" fillId="0" borderId="17" xfId="0" applyFont="1" applyBorder="1"/>
    <xf numFmtId="0" fontId="0" fillId="0" borderId="21" xfId="0" applyBorder="1"/>
    <xf numFmtId="0" fontId="0" fillId="0" borderId="23" xfId="0" applyBorder="1"/>
    <xf numFmtId="0" fontId="0" fillId="0" borderId="24" xfId="0" applyBorder="1"/>
    <xf numFmtId="0" fontId="23" fillId="0" borderId="23" xfId="0" applyFont="1" applyBorder="1" applyAlignment="1">
      <alignment horizontal="left" vertical="top" wrapText="1"/>
    </xf>
    <xf numFmtId="0" fontId="0" fillId="0" borderId="36" xfId="0" applyBorder="1"/>
    <xf numFmtId="0" fontId="0" fillId="0" borderId="12" xfId="0" applyBorder="1"/>
    <xf numFmtId="0" fontId="0" fillId="0" borderId="2" xfId="0" applyBorder="1" applyAlignment="1">
      <alignment horizontal="center"/>
    </xf>
    <xf numFmtId="0" fontId="0" fillId="0" borderId="19" xfId="0" applyBorder="1" applyAlignment="1">
      <alignment horizontal="center"/>
    </xf>
    <xf numFmtId="0" fontId="0" fillId="12" borderId="17" xfId="0" applyFill="1" applyBorder="1" applyAlignment="1">
      <alignment horizontal="center" vertical="center"/>
    </xf>
    <xf numFmtId="0" fontId="0" fillId="12" borderId="19" xfId="0" applyFill="1" applyBorder="1"/>
    <xf numFmtId="0" fontId="0" fillId="0" borderId="33" xfId="0" applyBorder="1" applyAlignment="1">
      <alignment horizontal="center" vertical="center"/>
    </xf>
    <xf numFmtId="0" fontId="0" fillId="0" borderId="38" xfId="0" applyBorder="1"/>
    <xf numFmtId="0" fontId="0" fillId="0" borderId="39" xfId="0" applyBorder="1"/>
    <xf numFmtId="0" fontId="24" fillId="0" borderId="0" xfId="0" applyFont="1" applyAlignment="1">
      <alignment horizontal="left" vertical="top" wrapText="1"/>
    </xf>
    <xf numFmtId="0" fontId="50" fillId="0" borderId="0" xfId="0" applyFont="1"/>
    <xf numFmtId="0" fontId="51" fillId="0" borderId="0" xfId="0" applyFont="1"/>
    <xf numFmtId="0" fontId="26" fillId="13" borderId="2" xfId="0" applyFont="1" applyFill="1" applyBorder="1" applyAlignment="1">
      <alignment horizontal="left" vertical="top" wrapText="1"/>
    </xf>
    <xf numFmtId="0" fontId="26" fillId="14" borderId="2" xfId="0" applyFont="1" applyFill="1" applyBorder="1" applyAlignment="1">
      <alignment horizontal="left" vertical="top" wrapText="1"/>
    </xf>
    <xf numFmtId="0" fontId="0" fillId="33" borderId="0" xfId="0" applyFill="1"/>
    <xf numFmtId="0" fontId="0" fillId="13" borderId="0" xfId="0" applyFill="1"/>
    <xf numFmtId="0" fontId="0" fillId="0" borderId="28" xfId="0" applyBorder="1"/>
    <xf numFmtId="0" fontId="11" fillId="3" borderId="17" xfId="0" applyFont="1" applyFill="1" applyBorder="1" applyAlignment="1">
      <alignment horizontal="left" vertical="center"/>
    </xf>
    <xf numFmtId="0" fontId="50" fillId="13" borderId="2" xfId="0" applyFont="1" applyFill="1" applyBorder="1" applyAlignment="1">
      <alignment vertical="center" wrapText="1"/>
    </xf>
    <xf numFmtId="0" fontId="51" fillId="13" borderId="2" xfId="0" applyFont="1" applyFill="1" applyBorder="1" applyAlignment="1">
      <alignment vertical="center" wrapText="1"/>
    </xf>
    <xf numFmtId="0" fontId="50" fillId="0" borderId="2" xfId="0" applyFont="1" applyBorder="1" applyAlignment="1">
      <alignment vertical="center" wrapText="1"/>
    </xf>
    <xf numFmtId="0" fontId="51" fillId="0" borderId="2" xfId="0" applyFont="1" applyBorder="1" applyAlignment="1">
      <alignment vertical="center" wrapText="1"/>
    </xf>
    <xf numFmtId="0" fontId="50" fillId="33" borderId="2" xfId="0" applyFont="1" applyFill="1" applyBorder="1" applyAlignment="1">
      <alignment vertical="center" wrapText="1"/>
    </xf>
    <xf numFmtId="0" fontId="51" fillId="33" borderId="2" xfId="0" applyFont="1" applyFill="1" applyBorder="1" applyAlignment="1">
      <alignment vertical="center" wrapText="1"/>
    </xf>
    <xf numFmtId="0" fontId="13" fillId="4" borderId="17" xfId="0" applyFont="1" applyFill="1" applyBorder="1" applyAlignment="1">
      <alignment horizontal="left" vertical="center"/>
    </xf>
    <xf numFmtId="0" fontId="14" fillId="5" borderId="17" xfId="0" applyFont="1" applyFill="1" applyBorder="1" applyAlignment="1">
      <alignment horizontal="left" vertical="center"/>
    </xf>
    <xf numFmtId="0" fontId="15" fillId="6" borderId="17" xfId="0" applyFont="1" applyFill="1" applyBorder="1" applyAlignment="1">
      <alignment horizontal="left" vertical="center"/>
    </xf>
    <xf numFmtId="0" fontId="16" fillId="7" borderId="17" xfId="0" applyFont="1" applyFill="1" applyBorder="1" applyAlignment="1">
      <alignment horizontal="left" vertical="center"/>
    </xf>
    <xf numFmtId="0" fontId="0" fillId="0" borderId="20" xfId="0" applyBorder="1"/>
    <xf numFmtId="0" fontId="0" fillId="0" borderId="30" xfId="0" applyBorder="1"/>
    <xf numFmtId="0" fontId="0" fillId="13" borderId="28" xfId="0" applyFill="1" applyBorder="1"/>
    <xf numFmtId="0" fontId="0" fillId="33" borderId="28" xfId="0" applyFill="1" applyBorder="1"/>
    <xf numFmtId="0" fontId="17" fillId="8" borderId="21" xfId="0" applyFont="1" applyFill="1" applyBorder="1" applyAlignment="1">
      <alignment horizontal="left" vertical="center"/>
    </xf>
    <xf numFmtId="0" fontId="50" fillId="13" borderId="23" xfId="0" applyFont="1" applyFill="1" applyBorder="1" applyAlignment="1">
      <alignment vertical="center" wrapText="1"/>
    </xf>
    <xf numFmtId="0" fontId="51" fillId="13" borderId="23" xfId="0" applyFont="1" applyFill="1" applyBorder="1" applyAlignment="1">
      <alignment vertical="center" wrapText="1"/>
    </xf>
    <xf numFmtId="0" fontId="50" fillId="0" borderId="23" xfId="0" applyFont="1" applyBorder="1" applyAlignment="1">
      <alignment vertical="center" wrapText="1"/>
    </xf>
    <xf numFmtId="0" fontId="51" fillId="0" borderId="23" xfId="0" applyFont="1" applyBorder="1" applyAlignment="1">
      <alignment vertical="center" wrapText="1"/>
    </xf>
    <xf numFmtId="0" fontId="50" fillId="33" borderId="23" xfId="0" applyFont="1" applyFill="1" applyBorder="1" applyAlignment="1">
      <alignment vertical="center" wrapText="1"/>
    </xf>
    <xf numFmtId="0" fontId="51" fillId="33" borderId="23" xfId="0" applyFont="1" applyFill="1" applyBorder="1" applyAlignment="1">
      <alignment vertical="center" wrapText="1"/>
    </xf>
    <xf numFmtId="0" fontId="50" fillId="34" borderId="2" xfId="0" applyFont="1" applyFill="1" applyBorder="1" applyAlignment="1">
      <alignment vertical="center" wrapText="1"/>
    </xf>
    <xf numFmtId="0" fontId="51" fillId="34" borderId="2" xfId="0" applyFont="1" applyFill="1" applyBorder="1" applyAlignment="1">
      <alignment vertical="center" wrapText="1"/>
    </xf>
    <xf numFmtId="0" fontId="50" fillId="34" borderId="23" xfId="0" applyFont="1" applyFill="1" applyBorder="1" applyAlignment="1">
      <alignment vertical="center" wrapText="1"/>
    </xf>
    <xf numFmtId="0" fontId="51" fillId="34" borderId="23" xfId="0" applyFont="1" applyFill="1" applyBorder="1" applyAlignment="1">
      <alignment vertical="center" wrapText="1"/>
    </xf>
    <xf numFmtId="0" fontId="0" fillId="34" borderId="28" xfId="0" applyFill="1" applyBorder="1"/>
    <xf numFmtId="0" fontId="51" fillId="34" borderId="19" xfId="0" applyFont="1" applyFill="1" applyBorder="1" applyAlignment="1">
      <alignment vertical="center" wrapText="1"/>
    </xf>
    <xf numFmtId="0" fontId="51" fillId="34" borderId="24" xfId="0" applyFont="1" applyFill="1" applyBorder="1" applyAlignment="1">
      <alignment vertical="center" wrapText="1"/>
    </xf>
    <xf numFmtId="0" fontId="0" fillId="34" borderId="0" xfId="0" applyFill="1"/>
    <xf numFmtId="0" fontId="52" fillId="35" borderId="2" xfId="0" applyFont="1" applyFill="1" applyBorder="1" applyAlignment="1">
      <alignment vertical="center" wrapText="1"/>
    </xf>
    <xf numFmtId="0" fontId="53" fillId="35" borderId="2" xfId="0" applyFont="1" applyFill="1" applyBorder="1" applyAlignment="1">
      <alignment vertical="center" wrapText="1"/>
    </xf>
    <xf numFmtId="0" fontId="50" fillId="0" borderId="20" xfId="0" applyFont="1" applyBorder="1"/>
    <xf numFmtId="0" fontId="50" fillId="0" borderId="28" xfId="0" applyFont="1" applyBorder="1"/>
    <xf numFmtId="0" fontId="51" fillId="0" borderId="28" xfId="0" applyFont="1" applyBorder="1"/>
    <xf numFmtId="0" fontId="50" fillId="33" borderId="20" xfId="0" applyFont="1" applyFill="1" applyBorder="1"/>
    <xf numFmtId="0" fontId="51" fillId="33" borderId="0" xfId="0" applyFont="1" applyFill="1"/>
    <xf numFmtId="0" fontId="50" fillId="13" borderId="20" xfId="0" applyFont="1" applyFill="1" applyBorder="1"/>
    <xf numFmtId="0" fontId="51" fillId="13" borderId="0" xfId="0" applyFont="1" applyFill="1"/>
    <xf numFmtId="0" fontId="50" fillId="33" borderId="0" xfId="0" applyFont="1" applyFill="1"/>
    <xf numFmtId="0" fontId="50" fillId="36" borderId="2" xfId="0" applyFont="1" applyFill="1" applyBorder="1" applyAlignment="1">
      <alignment vertical="center" wrapText="1"/>
    </xf>
    <xf numFmtId="0" fontId="51" fillId="36" borderId="2" xfId="0" applyFont="1" applyFill="1" applyBorder="1" applyAlignment="1">
      <alignment vertical="center" wrapText="1"/>
    </xf>
    <xf numFmtId="0" fontId="50" fillId="35" borderId="2" xfId="0" applyFont="1" applyFill="1" applyBorder="1" applyAlignment="1">
      <alignment vertical="center" wrapText="1"/>
    </xf>
    <xf numFmtId="0" fontId="51" fillId="35" borderId="2" xfId="0" applyFont="1" applyFill="1" applyBorder="1" applyAlignment="1">
      <alignment vertical="center" wrapText="1"/>
    </xf>
    <xf numFmtId="0" fontId="0" fillId="36" borderId="0" xfId="0" applyFill="1"/>
    <xf numFmtId="0" fontId="0" fillId="35" borderId="0" xfId="0" applyFill="1"/>
    <xf numFmtId="0" fontId="0" fillId="37" borderId="0" xfId="0" applyFill="1"/>
    <xf numFmtId="0" fontId="35" fillId="0" borderId="32" xfId="0" applyFont="1" applyBorder="1" applyAlignment="1">
      <alignment horizontal="left" vertical="top" wrapText="1"/>
    </xf>
    <xf numFmtId="0" fontId="51" fillId="0" borderId="0" xfId="0" applyFont="1" applyAlignment="1">
      <alignment vertical="top"/>
    </xf>
    <xf numFmtId="0" fontId="55" fillId="38" borderId="0" xfId="0" applyFont="1" applyFill="1" applyAlignment="1">
      <alignment horizontal="left" vertical="center"/>
    </xf>
    <xf numFmtId="0" fontId="56" fillId="38" borderId="0" xfId="0" applyFont="1" applyFill="1" applyAlignment="1">
      <alignment horizontal="left" vertical="center" wrapText="1"/>
    </xf>
    <xf numFmtId="0" fontId="0" fillId="0" borderId="0" xfId="0" applyAlignment="1">
      <alignment vertical="top" wrapText="1"/>
    </xf>
    <xf numFmtId="0" fontId="0" fillId="0" borderId="0" xfId="0" applyAlignment="1">
      <alignment horizontal="left" vertical="top" wrapTex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2" xfId="0" applyBorder="1" applyAlignment="1">
      <alignment horizontal="left" vertical="top" wrapText="1"/>
    </xf>
    <xf numFmtId="0" fontId="0" fillId="0" borderId="19"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4" fillId="3" borderId="43" xfId="0" applyFont="1" applyFill="1" applyBorder="1" applyAlignment="1">
      <alignment horizontal="left" vertical="top" wrapText="1"/>
    </xf>
    <xf numFmtId="0" fontId="4" fillId="3" borderId="44" xfId="0" applyFont="1" applyFill="1" applyBorder="1" applyAlignment="1">
      <alignment horizontal="left" vertical="top" wrapText="1"/>
    </xf>
    <xf numFmtId="0" fontId="4" fillId="3" borderId="45" xfId="0" applyFont="1" applyFill="1" applyBorder="1" applyAlignment="1">
      <alignment horizontal="left" vertical="top" wrapText="1"/>
    </xf>
    <xf numFmtId="0" fontId="5" fillId="4" borderId="43" xfId="0" applyFont="1" applyFill="1" applyBorder="1" applyAlignment="1">
      <alignment horizontal="left" vertical="top" wrapText="1"/>
    </xf>
    <xf numFmtId="0" fontId="5" fillId="4" borderId="44" xfId="0" applyFont="1" applyFill="1" applyBorder="1" applyAlignment="1">
      <alignment horizontal="left" vertical="top" wrapText="1"/>
    </xf>
    <xf numFmtId="0" fontId="5" fillId="4" borderId="45" xfId="0" applyFont="1" applyFill="1" applyBorder="1" applyAlignment="1">
      <alignment horizontal="left" vertical="top" wrapText="1"/>
    </xf>
    <xf numFmtId="0" fontId="38" fillId="32" borderId="43" xfId="0" applyFont="1" applyFill="1" applyBorder="1" applyAlignment="1">
      <alignment horizontal="left" vertical="top" wrapText="1"/>
    </xf>
    <xf numFmtId="0" fontId="38" fillId="32" borderId="44" xfId="0" applyFont="1" applyFill="1" applyBorder="1" applyAlignment="1">
      <alignment horizontal="left" vertical="top" wrapText="1"/>
    </xf>
    <xf numFmtId="0" fontId="0" fillId="0" borderId="6" xfId="0" applyBorder="1" applyAlignment="1">
      <alignment horizontal="center" vertical="center"/>
    </xf>
    <xf numFmtId="0" fontId="0" fillId="0" borderId="0" xfId="0" applyAlignment="1">
      <alignment horizontal="center" vertical="center"/>
    </xf>
    <xf numFmtId="0" fontId="0" fillId="13" borderId="2" xfId="0" applyFill="1" applyBorder="1" applyAlignment="1">
      <alignment horizontal="center" vertical="center" wrapText="1"/>
    </xf>
    <xf numFmtId="0" fontId="0" fillId="0" borderId="2" xfId="0" applyBorder="1" applyAlignment="1">
      <alignment horizontal="center" vertical="center" wrapText="1"/>
    </xf>
    <xf numFmtId="0" fontId="0" fillId="33" borderId="2" xfId="0" applyFill="1" applyBorder="1" applyAlignment="1">
      <alignment horizontal="center" vertical="center" wrapText="1"/>
    </xf>
    <xf numFmtId="0" fontId="0" fillId="34" borderId="2" xfId="0" applyFill="1" applyBorder="1" applyAlignment="1">
      <alignment horizontal="center" vertical="center" wrapText="1"/>
    </xf>
    <xf numFmtId="0" fontId="0" fillId="13" borderId="14" xfId="0" applyFill="1" applyBorder="1" applyAlignment="1">
      <alignment horizontal="center" vertical="center" wrapText="1"/>
    </xf>
    <xf numFmtId="0" fontId="0" fillId="0" borderId="14" xfId="0" applyBorder="1" applyAlignment="1">
      <alignment horizontal="center" vertical="center" wrapText="1"/>
    </xf>
    <xf numFmtId="0" fontId="0" fillId="33" borderId="14" xfId="0" applyFill="1" applyBorder="1" applyAlignment="1">
      <alignment horizontal="center" vertical="center" wrapText="1"/>
    </xf>
    <xf numFmtId="0" fontId="0" fillId="34" borderId="14" xfId="0" applyFill="1" applyBorder="1" applyAlignment="1">
      <alignment horizontal="center" vertical="center" wrapText="1"/>
    </xf>
    <xf numFmtId="0" fontId="0" fillId="34" borderId="15" xfId="0" applyFill="1" applyBorder="1" applyAlignment="1">
      <alignment horizontal="center" vertical="center" wrapText="1"/>
    </xf>
    <xf numFmtId="0" fontId="0" fillId="34" borderId="19" xfId="0" applyFill="1" applyBorder="1" applyAlignment="1">
      <alignment horizontal="center" vertical="center" wrapText="1"/>
    </xf>
    <xf numFmtId="0" fontId="0" fillId="0" borderId="31" xfId="0" applyBorder="1" applyAlignment="1">
      <alignment horizontal="center" vertical="center"/>
    </xf>
    <xf numFmtId="0" fontId="35" fillId="0" borderId="41" xfId="0" applyFont="1" applyBorder="1" applyAlignment="1">
      <alignment horizontal="left" vertical="top" wrapText="1"/>
    </xf>
    <xf numFmtId="0" fontId="35" fillId="0" borderId="42" xfId="0" applyFont="1" applyBorder="1" applyAlignment="1">
      <alignment horizontal="left" vertical="top" wrapText="1"/>
    </xf>
    <xf numFmtId="0" fontId="0" fillId="0" borderId="3" xfId="0" applyBorder="1" applyAlignment="1">
      <alignment horizontal="center"/>
    </xf>
    <xf numFmtId="0" fontId="0" fillId="0" borderId="4" xfId="0" applyBorder="1" applyAlignment="1">
      <alignment horizont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12" xfId="0" applyBorder="1" applyAlignment="1">
      <alignment horizontal="center" vertical="center" wrapText="1"/>
    </xf>
    <xf numFmtId="0" fontId="0" fillId="0" borderId="17" xfId="0" applyBorder="1" applyAlignment="1">
      <alignment horizontal="center" vertical="center" wrapText="1"/>
    </xf>
    <xf numFmtId="0" fontId="0" fillId="0" borderId="21" xfId="0" applyBorder="1" applyAlignment="1">
      <alignment horizontal="center" vertical="center" wrapText="1"/>
    </xf>
    <xf numFmtId="0" fontId="0" fillId="0" borderId="42" xfId="0" applyBorder="1" applyAlignment="1">
      <alignment horizontal="left" vertical="top" wrapText="1"/>
    </xf>
    <xf numFmtId="0" fontId="0" fillId="0" borderId="26" xfId="0" applyBorder="1" applyAlignment="1">
      <alignment horizontal="center" vertical="center" wrapText="1"/>
    </xf>
    <xf numFmtId="0" fontId="0" fillId="0" borderId="17" xfId="0" applyBorder="1" applyAlignment="1">
      <alignment horizontal="left" vertical="top" wrapText="1"/>
    </xf>
    <xf numFmtId="0" fontId="0" fillId="0" borderId="21" xfId="0" applyBorder="1" applyAlignment="1">
      <alignment horizontal="left" vertical="top" wrapText="1"/>
    </xf>
    <xf numFmtId="0" fontId="0" fillId="0" borderId="2" xfId="0" applyBorder="1" applyAlignment="1">
      <alignment horizontal="left" vertical="top" wrapText="1"/>
    </xf>
    <xf numFmtId="0" fontId="0" fillId="0" borderId="23" xfId="0" applyBorder="1" applyAlignment="1">
      <alignment horizontal="left" vertical="top" wrapText="1"/>
    </xf>
    <xf numFmtId="0" fontId="0" fillId="0" borderId="0" xfId="0" applyAlignment="1">
      <alignment horizontal="center"/>
    </xf>
    <xf numFmtId="0" fontId="0" fillId="0" borderId="37" xfId="0" applyBorder="1" applyAlignment="1">
      <alignment horizontal="center" vertical="center"/>
    </xf>
    <xf numFmtId="0" fontId="0" fillId="0" borderId="40" xfId="0" applyBorder="1" applyAlignment="1">
      <alignment horizontal="center" vertical="center"/>
    </xf>
    <xf numFmtId="0" fontId="0" fillId="0" borderId="22" xfId="0" applyBorder="1" applyAlignment="1">
      <alignment horizontal="center"/>
    </xf>
    <xf numFmtId="0" fontId="0" fillId="0" borderId="25"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3" fillId="0" borderId="0" xfId="0" applyFont="1" applyAlignment="1">
      <alignment horizontal="center" vertical="top" wrapText="1"/>
    </xf>
    <xf numFmtId="0" fontId="0" fillId="0" borderId="0" xfId="0" applyAlignment="1">
      <alignment horizontal="center" wrapText="1"/>
    </xf>
    <xf numFmtId="0" fontId="0" fillId="0" borderId="5" xfId="0" applyBorder="1" applyAlignment="1">
      <alignment horizontal="center"/>
    </xf>
    <xf numFmtId="0" fontId="0" fillId="0" borderId="14" xfId="0" applyBorder="1" applyAlignment="1">
      <alignment horizontal="center"/>
    </xf>
    <xf numFmtId="0" fontId="0" fillId="0" borderId="15" xfId="0" applyBorder="1" applyAlignment="1">
      <alignment horizontal="center"/>
    </xf>
  </cellXfs>
  <cellStyles count="2">
    <cellStyle name="Normal" xfId="0" builtinId="0"/>
    <cellStyle name="Per cent" xfId="1" builtinId="5"/>
  </cellStyles>
  <dxfs count="0"/>
  <tableStyles count="0" defaultTableStyle="TableStyleMedium9" defaultPivotStyle="PivotStyleLight16"/>
  <colors>
    <mruColors>
      <color rgb="FFF6E6D0"/>
      <color rgb="FFEBEBEB"/>
      <color rgb="FFE8F0D0"/>
      <color rgb="FFD6E4F8"/>
      <color rgb="FFFB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Yu Gothic UI Semilight" panose="020B0400000000000000" pitchFamily="34" charset="-128"/>
                <a:ea typeface="Yu Gothic UI Semilight" panose="020B0400000000000000" pitchFamily="34" charset="-128"/>
                <a:cs typeface="+mn-cs"/>
              </a:defRPr>
            </a:pPr>
            <a:r>
              <a:rPr lang="en-GB"/>
              <a:t>Service Design</a:t>
            </a:r>
          </a:p>
        </c:rich>
      </c:tx>
      <c:layout>
        <c:manualLayout>
          <c:xMode val="edge"/>
          <c:yMode val="edge"/>
          <c:x val="0.70046511627906982"/>
          <c:y val="4.3624161073825503E-2"/>
        </c:manualLayout>
      </c:layout>
      <c:overlay val="0"/>
      <c:spPr>
        <a:noFill/>
        <a:ln>
          <a:noFill/>
        </a:ln>
        <a:effectLst/>
      </c:spPr>
      <c:txPr>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Yu Gothic UI Semilight" panose="020B0400000000000000" pitchFamily="34" charset="-128"/>
              <a:ea typeface="Yu Gothic UI Semilight" panose="020B0400000000000000" pitchFamily="34" charset="-128"/>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1C0-134F-B46E-8CFE3233E96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1C0-134F-B46E-8CFE3233E96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1C0-134F-B46E-8CFE3233E96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1C0-134F-B46E-8CFE3233E96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31C0-134F-B46E-8CFE3233E96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31C0-134F-B46E-8CFE3233E96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31C0-134F-B46E-8CFE3233E960}"/>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31C0-134F-B46E-8CFE3233E960}"/>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31C0-134F-B46E-8CFE3233E960}"/>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31C0-134F-B46E-8CFE3233E960}"/>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31C0-134F-B46E-8CFE3233E960}"/>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31C0-134F-B46E-8CFE3233E960}"/>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31C0-134F-B46E-8CFE3233E960}"/>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31C0-134F-B46E-8CFE3233E960}"/>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31C0-134F-B46E-8CFE3233E960}"/>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31C0-134F-B46E-8CFE3233E960}"/>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31C0-134F-B46E-8CFE3233E960}"/>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31C0-134F-B46E-8CFE3233E960}"/>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31C0-134F-B46E-8CFE3233E960}"/>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31C0-134F-B46E-8CFE3233E960}"/>
              </c:ext>
            </c:extLst>
          </c:dPt>
          <c:dPt>
            <c:idx val="20"/>
            <c:bubble3D val="0"/>
            <c:spPr>
              <a:solidFill>
                <a:schemeClr val="accent3">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31C0-134F-B46E-8CFE3233E960}"/>
              </c:ext>
            </c:extLst>
          </c:dPt>
          <c:dLbls>
            <c:dLbl>
              <c:idx val="0"/>
              <c:layout>
                <c:manualLayout>
                  <c:x val="1.53401173690498E-2"/>
                  <c:y val="9.5644982296676007E-2"/>
                </c:manualLayout>
              </c:layout>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1"/>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1C0-134F-B46E-8CFE3233E960}"/>
                </c:ext>
              </c:extLst>
            </c:dLbl>
            <c:dLbl>
              <c:idx val="1"/>
              <c:layout>
                <c:manualLayout>
                  <c:x val="2.4761991960307286E-2"/>
                  <c:y val="1.4365851080695449E-2"/>
                </c:manualLayout>
              </c:layout>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2"/>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1C0-134F-B46E-8CFE3233E960}"/>
                </c:ext>
              </c:extLst>
            </c:dLbl>
            <c:dLbl>
              <c:idx val="2"/>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3"/>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C0-134F-B46E-8CFE3233E960}"/>
                </c:ext>
              </c:extLst>
            </c:dLbl>
            <c:dLbl>
              <c:idx val="3"/>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4"/>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1C0-134F-B46E-8CFE3233E960}"/>
                </c:ext>
              </c:extLst>
            </c:dLbl>
            <c:dLbl>
              <c:idx val="4"/>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5"/>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1C0-134F-B46E-8CFE3233E960}"/>
                </c:ext>
              </c:extLst>
            </c:dLbl>
            <c:dLbl>
              <c:idx val="5"/>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6"/>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1C0-134F-B46E-8CFE3233E960}"/>
                </c:ext>
              </c:extLst>
            </c:dLbl>
            <c:dLbl>
              <c:idx val="6"/>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1">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1C0-134F-B46E-8CFE3233E960}"/>
                </c:ext>
              </c:extLst>
            </c:dLbl>
            <c:dLbl>
              <c:idx val="7"/>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2">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1C0-134F-B46E-8CFE3233E960}"/>
                </c:ext>
              </c:extLst>
            </c:dLbl>
            <c:dLbl>
              <c:idx val="8"/>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3">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1C0-134F-B46E-8CFE3233E960}"/>
                </c:ext>
              </c:extLst>
            </c:dLbl>
            <c:dLbl>
              <c:idx val="9"/>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4">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1C0-134F-B46E-8CFE3233E960}"/>
                </c:ext>
              </c:extLst>
            </c:dLbl>
            <c:dLbl>
              <c:idx val="10"/>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5">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1C0-134F-B46E-8CFE3233E960}"/>
                </c:ext>
              </c:extLst>
            </c:dLbl>
            <c:dLbl>
              <c:idx val="11"/>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6">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31C0-134F-B46E-8CFE3233E960}"/>
                </c:ext>
              </c:extLst>
            </c:dLbl>
            <c:dLbl>
              <c:idx val="12"/>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1">
                          <a:lumMod val="80000"/>
                          <a:lumOff val="2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9-31C0-134F-B46E-8CFE3233E960}"/>
                </c:ext>
              </c:extLst>
            </c:dLbl>
            <c:dLbl>
              <c:idx val="13"/>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2">
                          <a:lumMod val="80000"/>
                          <a:lumOff val="2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B-31C0-134F-B46E-8CFE3233E960}"/>
                </c:ext>
              </c:extLst>
            </c:dLbl>
            <c:dLbl>
              <c:idx val="14"/>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3">
                          <a:lumMod val="80000"/>
                          <a:lumOff val="2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31C0-134F-B46E-8CFE3233E960}"/>
                </c:ext>
              </c:extLst>
            </c:dLbl>
            <c:dLbl>
              <c:idx val="15"/>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4">
                          <a:lumMod val="80000"/>
                          <a:lumOff val="2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F-31C0-134F-B46E-8CFE3233E960}"/>
                </c:ext>
              </c:extLst>
            </c:dLbl>
            <c:dLbl>
              <c:idx val="16"/>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5">
                          <a:lumMod val="80000"/>
                          <a:lumOff val="2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1-31C0-134F-B46E-8CFE3233E960}"/>
                </c:ext>
              </c:extLst>
            </c:dLbl>
            <c:dLbl>
              <c:idx val="17"/>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6">
                          <a:lumMod val="80000"/>
                          <a:lumOff val="2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3-31C0-134F-B46E-8CFE3233E960}"/>
                </c:ext>
              </c:extLst>
            </c:dLbl>
            <c:dLbl>
              <c:idx val="18"/>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1">
                          <a:lumMod val="8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5-31C0-134F-B46E-8CFE3233E960}"/>
                </c:ext>
              </c:extLst>
            </c:dLbl>
            <c:dLbl>
              <c:idx val="19"/>
              <c:layout>
                <c:manualLayout>
                  <c:x val="8.4342480445758233E-2"/>
                  <c:y val="-7.8410928499709348E-2"/>
                </c:manualLayout>
              </c:layout>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2">
                          <a:lumMod val="8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7-31C0-134F-B46E-8CFE3233E960}"/>
                </c:ext>
              </c:extLst>
            </c:dLbl>
            <c:dLbl>
              <c:idx val="20"/>
              <c:layout>
                <c:manualLayout>
                  <c:x val="0.31229235880398665"/>
                  <c:y val="5.5193415420387887E-2"/>
                </c:manualLayout>
              </c:layout>
              <c:spPr>
                <a:noFill/>
                <a:ln>
                  <a:noFill/>
                </a:ln>
                <a:effectLst/>
              </c:spPr>
              <c:txPr>
                <a:bodyPr rot="0" spcFirstLastPara="1" vertOverflow="overflow" horzOverflow="overflow" vert="horz" wrap="square" anchor="ctr" anchorCtr="1"/>
                <a:lstStyle/>
                <a:p>
                  <a:pPr>
                    <a:defRPr sz="1000" b="0" i="0" u="none" strike="noStrike" kern="1200" spc="0" baseline="0">
                      <a:solidFill>
                        <a:schemeClr val="accent3">
                          <a:lumMod val="8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9811738648947953"/>
                      <c:h val="0.17114093959731544"/>
                    </c:manualLayout>
                  </c15:layout>
                </c:ext>
                <c:ext xmlns:c16="http://schemas.microsoft.com/office/drawing/2014/chart" uri="{C3380CC4-5D6E-409C-BE32-E72D297353CC}">
                  <c16:uniqueId val="{00000029-31C0-134F-B46E-8CFE3233E960}"/>
                </c:ext>
              </c:extLst>
            </c:dLbl>
            <c:spPr>
              <a:noFill/>
              <a:ln>
                <a:noFill/>
              </a:ln>
              <a:effectLst/>
            </c:sp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'[1]All_AI Tools'!$G$10:$G$30</c:f>
              <c:strCache>
                <c:ptCount val="21"/>
                <c:pt idx="0">
                  <c:v>ChatGPT</c:v>
                </c:pt>
                <c:pt idx="1">
                  <c:v>Gemini</c:v>
                </c:pt>
                <c:pt idx="2">
                  <c:v>Perplexity</c:v>
                </c:pt>
                <c:pt idx="3">
                  <c:v>Midjourney</c:v>
                </c:pt>
                <c:pt idx="4">
                  <c:v>Claude</c:v>
                </c:pt>
                <c:pt idx="5">
                  <c:v>Copilot</c:v>
                </c:pt>
                <c:pt idx="6">
                  <c:v>Dall-E</c:v>
                </c:pt>
                <c:pt idx="7">
                  <c:v>Figma</c:v>
                </c:pt>
                <c:pt idx="8">
                  <c:v>CX Agents</c:v>
                </c:pt>
                <c:pt idx="9">
                  <c:v>Clova</c:v>
                </c:pt>
                <c:pt idx="10">
                  <c:v>NotebookLM</c:v>
                </c:pt>
                <c:pt idx="11">
                  <c:v>ML (Phython)</c:v>
                </c:pt>
                <c:pt idx="12">
                  <c:v>UX Pilot</c:v>
                </c:pt>
                <c:pt idx="13">
                  <c:v>Canva</c:v>
                </c:pt>
                <c:pt idx="14">
                  <c:v>DeepSeek</c:v>
                </c:pt>
                <c:pt idx="15">
                  <c:v>LLMs</c:v>
                </c:pt>
                <c:pt idx="16">
                  <c:v>BDM Agents</c:v>
                </c:pt>
                <c:pt idx="17">
                  <c:v>Slack</c:v>
                </c:pt>
                <c:pt idx="18">
                  <c:v>Stitch</c:v>
                </c:pt>
                <c:pt idx="19">
                  <c:v>Whimsical</c:v>
                </c:pt>
                <c:pt idx="20">
                  <c:v>Miccelaneous (Single mention's)</c:v>
                </c:pt>
              </c:strCache>
            </c:strRef>
          </c:cat>
          <c:val>
            <c:numRef>
              <c:f>'[1]All_AI Tools'!$H$10:$H$30</c:f>
              <c:numCache>
                <c:formatCode>General</c:formatCode>
                <c:ptCount val="21"/>
                <c:pt idx="0">
                  <c:v>63</c:v>
                </c:pt>
                <c:pt idx="1">
                  <c:v>22</c:v>
                </c:pt>
                <c:pt idx="2">
                  <c:v>12</c:v>
                </c:pt>
                <c:pt idx="3">
                  <c:v>6</c:v>
                </c:pt>
                <c:pt idx="4">
                  <c:v>6</c:v>
                </c:pt>
                <c:pt idx="5">
                  <c:v>5</c:v>
                </c:pt>
                <c:pt idx="6">
                  <c:v>5</c:v>
                </c:pt>
                <c:pt idx="7">
                  <c:v>5</c:v>
                </c:pt>
                <c:pt idx="8">
                  <c:v>4</c:v>
                </c:pt>
                <c:pt idx="9">
                  <c:v>4</c:v>
                </c:pt>
                <c:pt idx="10">
                  <c:v>3</c:v>
                </c:pt>
                <c:pt idx="11">
                  <c:v>3</c:v>
                </c:pt>
                <c:pt idx="12">
                  <c:v>3</c:v>
                </c:pt>
                <c:pt idx="13">
                  <c:v>3</c:v>
                </c:pt>
                <c:pt idx="14">
                  <c:v>2</c:v>
                </c:pt>
                <c:pt idx="15">
                  <c:v>2</c:v>
                </c:pt>
                <c:pt idx="16">
                  <c:v>2</c:v>
                </c:pt>
                <c:pt idx="17">
                  <c:v>2</c:v>
                </c:pt>
                <c:pt idx="18">
                  <c:v>2</c:v>
                </c:pt>
                <c:pt idx="19">
                  <c:v>2</c:v>
                </c:pt>
                <c:pt idx="20">
                  <c:v>10</c:v>
                </c:pt>
              </c:numCache>
            </c:numRef>
          </c:val>
          <c:extLst>
            <c:ext xmlns:c16="http://schemas.microsoft.com/office/drawing/2014/chart" uri="{C3380CC4-5D6E-409C-BE32-E72D297353CC}">
              <c16:uniqueId val="{0000002A-31C0-134F-B46E-8CFE3233E960}"/>
            </c:ext>
          </c:extLst>
        </c:ser>
        <c:dLbls>
          <c:dLblPos val="bestFit"/>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0">
          <a:latin typeface="Yu Gothic UI Semilight" panose="020B0400000000000000" pitchFamily="34" charset="-128"/>
          <a:ea typeface="Yu Gothic UI Semilight" panose="020B0400000000000000" pitchFamily="34" charset="-128"/>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Yu Gothic UI Semilight" panose="020B0400000000000000" pitchFamily="34" charset="-128"/>
                <a:ea typeface="Yu Gothic UI Semilight" panose="020B0400000000000000" pitchFamily="34" charset="-128"/>
                <a:cs typeface="+mn-cs"/>
              </a:defRPr>
            </a:pPr>
            <a:r>
              <a:rPr lang="en-GB"/>
              <a:t>UI/UX Design</a:t>
            </a:r>
          </a:p>
        </c:rich>
      </c:tx>
      <c:layout>
        <c:manualLayout>
          <c:xMode val="edge"/>
          <c:yMode val="edge"/>
          <c:x val="0.73965823837237732"/>
          <c:y val="2.0408163265306121E-2"/>
        </c:manualLayout>
      </c:layout>
      <c:overlay val="0"/>
      <c:spPr>
        <a:noFill/>
        <a:ln>
          <a:noFill/>
        </a:ln>
        <a:effectLst/>
      </c:spPr>
      <c:txPr>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Yu Gothic UI Semilight" panose="020B0400000000000000" pitchFamily="34" charset="-128"/>
              <a:ea typeface="Yu Gothic UI Semilight" panose="020B0400000000000000" pitchFamily="34" charset="-128"/>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80E5-9B47-BED8-6AAC80218E3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0E5-9B47-BED8-6AAC80218E3E}"/>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0E5-9B47-BED8-6AAC80218E3E}"/>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80E5-9B47-BED8-6AAC80218E3E}"/>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80E5-9B47-BED8-6AAC80218E3E}"/>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80E5-9B47-BED8-6AAC80218E3E}"/>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80E5-9B47-BED8-6AAC80218E3E}"/>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80E5-9B47-BED8-6AAC80218E3E}"/>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80E5-9B47-BED8-6AAC80218E3E}"/>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80E5-9B47-BED8-6AAC80218E3E}"/>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80E5-9B47-BED8-6AAC80218E3E}"/>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80E5-9B47-BED8-6AAC80218E3E}"/>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80E5-9B47-BED8-6AAC80218E3E}"/>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80E5-9B47-BED8-6AAC80218E3E}"/>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80E5-9B47-BED8-6AAC80218E3E}"/>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80E5-9B47-BED8-6AAC80218E3E}"/>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80E5-9B47-BED8-6AAC80218E3E}"/>
              </c:ext>
            </c:extLst>
          </c:dPt>
          <c:dLbls>
            <c:dLbl>
              <c:idx val="0"/>
              <c:layout>
                <c:manualLayout>
                  <c:x val="2.0211571379664499E-2"/>
                  <c:y val="1.1374471048261824E-3"/>
                </c:manualLayout>
              </c:layout>
              <c:spPr>
                <a:noFill/>
                <a:ln>
                  <a:noFill/>
                </a:ln>
                <a:effectLst/>
              </c:spPr>
              <c:txPr>
                <a:bodyPr rot="0" spcFirstLastPara="1" vertOverflow="ellipsis" vert="horz" wrap="square" anchor="ctr" anchorCtr="1"/>
                <a:lstStyle/>
                <a:p>
                  <a:pPr>
                    <a:defRPr sz="1000" b="0" i="0" u="none" strike="noStrike" kern="1200" spc="0" baseline="0">
                      <a:solidFill>
                        <a:schemeClr val="accent1"/>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0E5-9B47-BED8-6AAC80218E3E}"/>
                </c:ext>
              </c:extLst>
            </c:dLbl>
            <c:dLbl>
              <c:idx val="1"/>
              <c:layout>
                <c:manualLayout>
                  <c:x val="-4.9688462855186494E-3"/>
                  <c:y val="-5.8238255932293974E-4"/>
                </c:manualLayout>
              </c:layout>
              <c:spPr>
                <a:noFill/>
                <a:ln>
                  <a:noFill/>
                </a:ln>
                <a:effectLst/>
              </c:spPr>
              <c:txPr>
                <a:bodyPr rot="0" spcFirstLastPara="1" vertOverflow="ellipsis" vert="horz" wrap="square" anchor="ctr" anchorCtr="1"/>
                <a:lstStyle/>
                <a:p>
                  <a:pPr>
                    <a:defRPr sz="1000" b="0" i="0" u="none" strike="noStrike" kern="1200" spc="0" baseline="0">
                      <a:solidFill>
                        <a:schemeClr val="accent2"/>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515527950310559"/>
                      <c:h val="6.9727891156462579E-2"/>
                    </c:manualLayout>
                  </c15:layout>
                </c:ext>
                <c:ext xmlns:c16="http://schemas.microsoft.com/office/drawing/2014/chart" uri="{C3380CC4-5D6E-409C-BE32-E72D297353CC}">
                  <c16:uniqueId val="{00000003-80E5-9B47-BED8-6AAC80218E3E}"/>
                </c:ext>
              </c:extLst>
            </c:dLbl>
            <c:dLbl>
              <c:idx val="2"/>
              <c:spPr>
                <a:noFill/>
                <a:ln>
                  <a:noFill/>
                </a:ln>
                <a:effectLst/>
              </c:spPr>
              <c:txPr>
                <a:bodyPr rot="0" spcFirstLastPara="1" vertOverflow="ellipsis" vert="horz" wrap="square" anchor="ctr" anchorCtr="1"/>
                <a:lstStyle/>
                <a:p>
                  <a:pPr>
                    <a:defRPr sz="1000" b="0" i="0" u="none" strike="noStrike" kern="1200" spc="0" baseline="0">
                      <a:solidFill>
                        <a:schemeClr val="accent3"/>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0E5-9B47-BED8-6AAC80218E3E}"/>
                </c:ext>
              </c:extLst>
            </c:dLbl>
            <c:dLbl>
              <c:idx val="3"/>
              <c:spPr>
                <a:noFill/>
                <a:ln>
                  <a:noFill/>
                </a:ln>
                <a:effectLst/>
              </c:spPr>
              <c:txPr>
                <a:bodyPr rot="0" spcFirstLastPara="1" vertOverflow="ellipsis" vert="horz" wrap="square" anchor="ctr" anchorCtr="1"/>
                <a:lstStyle/>
                <a:p>
                  <a:pPr>
                    <a:defRPr sz="1000" b="0" i="0" u="none" strike="noStrike" kern="1200" spc="0" baseline="0">
                      <a:solidFill>
                        <a:schemeClr val="accent4"/>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0E5-9B47-BED8-6AAC80218E3E}"/>
                </c:ext>
              </c:extLst>
            </c:dLbl>
            <c:dLbl>
              <c:idx val="4"/>
              <c:spPr>
                <a:noFill/>
                <a:ln>
                  <a:noFill/>
                </a:ln>
                <a:effectLst/>
              </c:spPr>
              <c:txPr>
                <a:bodyPr rot="0" spcFirstLastPara="1" vertOverflow="ellipsis" vert="horz" wrap="square" anchor="ctr" anchorCtr="1"/>
                <a:lstStyle/>
                <a:p>
                  <a:pPr>
                    <a:defRPr sz="1000" b="0" i="0" u="none" strike="noStrike" kern="1200" spc="0" baseline="0">
                      <a:solidFill>
                        <a:schemeClr val="accent5"/>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0E5-9B47-BED8-6AAC80218E3E}"/>
                </c:ext>
              </c:extLst>
            </c:dLbl>
            <c:dLbl>
              <c:idx val="5"/>
              <c:spPr>
                <a:noFill/>
                <a:ln>
                  <a:noFill/>
                </a:ln>
                <a:effectLst/>
              </c:spPr>
              <c:txPr>
                <a:bodyPr rot="0" spcFirstLastPara="1" vertOverflow="ellipsis" vert="horz" wrap="square" anchor="ctr" anchorCtr="1"/>
                <a:lstStyle/>
                <a:p>
                  <a:pPr>
                    <a:defRPr sz="1000" b="0" i="0" u="none" strike="noStrike" kern="1200" spc="0" baseline="0">
                      <a:solidFill>
                        <a:schemeClr val="accent6"/>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0E5-9B47-BED8-6AAC80218E3E}"/>
                </c:ext>
              </c:extLst>
            </c:dLbl>
            <c:dLbl>
              <c:idx val="6"/>
              <c:spPr>
                <a:noFill/>
                <a:ln>
                  <a:noFill/>
                </a:ln>
                <a:effectLst/>
              </c:spPr>
              <c:txPr>
                <a:bodyPr rot="0" spcFirstLastPara="1" vertOverflow="ellipsis" vert="horz" wrap="square" anchor="ctr" anchorCtr="1"/>
                <a:lstStyle/>
                <a:p>
                  <a:pPr>
                    <a:defRPr sz="1000" b="0" i="0" u="none" strike="noStrike" kern="1200" spc="0" baseline="0">
                      <a:solidFill>
                        <a:schemeClr val="accent1">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0E5-9B47-BED8-6AAC80218E3E}"/>
                </c:ext>
              </c:extLst>
            </c:dLbl>
            <c:dLbl>
              <c:idx val="7"/>
              <c:spPr>
                <a:noFill/>
                <a:ln>
                  <a:noFill/>
                </a:ln>
                <a:effectLst/>
              </c:spPr>
              <c:txPr>
                <a:bodyPr rot="0" spcFirstLastPara="1" vertOverflow="ellipsis" vert="horz" wrap="square" anchor="ctr" anchorCtr="1"/>
                <a:lstStyle/>
                <a:p>
                  <a:pPr>
                    <a:defRPr sz="1000" b="0" i="0" u="none" strike="noStrike" kern="1200" spc="0" baseline="0">
                      <a:solidFill>
                        <a:schemeClr val="accent2">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0E5-9B47-BED8-6AAC80218E3E}"/>
                </c:ext>
              </c:extLst>
            </c:dLbl>
            <c:dLbl>
              <c:idx val="8"/>
              <c:spPr>
                <a:noFill/>
                <a:ln>
                  <a:noFill/>
                </a:ln>
                <a:effectLst/>
              </c:spPr>
              <c:txPr>
                <a:bodyPr rot="0" spcFirstLastPara="1" vertOverflow="ellipsis" vert="horz" wrap="square" anchor="ctr" anchorCtr="1"/>
                <a:lstStyle/>
                <a:p>
                  <a:pPr>
                    <a:defRPr sz="1000" b="0" i="0" u="none" strike="noStrike" kern="1200" spc="0" baseline="0">
                      <a:solidFill>
                        <a:schemeClr val="accent3">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0E5-9B47-BED8-6AAC80218E3E}"/>
                </c:ext>
              </c:extLst>
            </c:dLbl>
            <c:dLbl>
              <c:idx val="9"/>
              <c:spPr>
                <a:noFill/>
                <a:ln>
                  <a:noFill/>
                </a:ln>
                <a:effectLst/>
              </c:spPr>
              <c:txPr>
                <a:bodyPr rot="0" spcFirstLastPara="1" vertOverflow="ellipsis" vert="horz" wrap="square" anchor="ctr" anchorCtr="1"/>
                <a:lstStyle/>
                <a:p>
                  <a:pPr>
                    <a:defRPr sz="1000" b="0" i="0" u="none" strike="noStrike" kern="1200" spc="0" baseline="0">
                      <a:solidFill>
                        <a:schemeClr val="accent4">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0E5-9B47-BED8-6AAC80218E3E}"/>
                </c:ext>
              </c:extLst>
            </c:dLbl>
            <c:dLbl>
              <c:idx val="10"/>
              <c:spPr>
                <a:noFill/>
                <a:ln>
                  <a:noFill/>
                </a:ln>
                <a:effectLst/>
              </c:spPr>
              <c:txPr>
                <a:bodyPr rot="0" spcFirstLastPara="1" vertOverflow="ellipsis" vert="horz" wrap="square" anchor="ctr" anchorCtr="1"/>
                <a:lstStyle/>
                <a:p>
                  <a:pPr>
                    <a:defRPr sz="1000" b="0" i="0" u="none" strike="noStrike" kern="1200" spc="0" baseline="0">
                      <a:solidFill>
                        <a:schemeClr val="accent5">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0E5-9B47-BED8-6AAC80218E3E}"/>
                </c:ext>
              </c:extLst>
            </c:dLbl>
            <c:dLbl>
              <c:idx val="11"/>
              <c:spPr>
                <a:noFill/>
                <a:ln>
                  <a:noFill/>
                </a:ln>
                <a:effectLst/>
              </c:spPr>
              <c:txPr>
                <a:bodyPr rot="0" spcFirstLastPara="1" vertOverflow="ellipsis" vert="horz" wrap="square" anchor="ctr" anchorCtr="1"/>
                <a:lstStyle/>
                <a:p>
                  <a:pPr>
                    <a:defRPr sz="1000" b="0" i="0" u="none" strike="noStrike" kern="1200" spc="0" baseline="0">
                      <a:solidFill>
                        <a:schemeClr val="accent6">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80E5-9B47-BED8-6AAC80218E3E}"/>
                </c:ext>
              </c:extLst>
            </c:dLbl>
            <c:dLbl>
              <c:idx val="12"/>
              <c:spPr>
                <a:noFill/>
                <a:ln>
                  <a:noFill/>
                </a:ln>
                <a:effectLst/>
              </c:spPr>
              <c:txPr>
                <a:bodyPr rot="0" spcFirstLastPara="1" vertOverflow="ellipsis" vert="horz" wrap="square" anchor="ctr" anchorCtr="1"/>
                <a:lstStyle/>
                <a:p>
                  <a:pPr>
                    <a:defRPr sz="1000" b="0" i="0" u="none" strike="noStrike" kern="1200" spc="0" baseline="0">
                      <a:solidFill>
                        <a:schemeClr val="accent1">
                          <a:lumMod val="80000"/>
                          <a:lumOff val="2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9-80E5-9B47-BED8-6AAC80218E3E}"/>
                </c:ext>
              </c:extLst>
            </c:dLbl>
            <c:dLbl>
              <c:idx val="13"/>
              <c:spPr>
                <a:noFill/>
                <a:ln>
                  <a:noFill/>
                </a:ln>
                <a:effectLst/>
              </c:spPr>
              <c:txPr>
                <a:bodyPr rot="0" spcFirstLastPara="1" vertOverflow="ellipsis" vert="horz" wrap="square" anchor="ctr" anchorCtr="1"/>
                <a:lstStyle/>
                <a:p>
                  <a:pPr>
                    <a:defRPr sz="1000" b="0" i="0" u="none" strike="noStrike" kern="1200" spc="0" baseline="0">
                      <a:solidFill>
                        <a:schemeClr val="accent2">
                          <a:lumMod val="80000"/>
                          <a:lumOff val="2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B-80E5-9B47-BED8-6AAC80218E3E}"/>
                </c:ext>
              </c:extLst>
            </c:dLbl>
            <c:dLbl>
              <c:idx val="14"/>
              <c:spPr>
                <a:noFill/>
                <a:ln>
                  <a:noFill/>
                </a:ln>
                <a:effectLst/>
              </c:spPr>
              <c:txPr>
                <a:bodyPr rot="0" spcFirstLastPara="1" vertOverflow="ellipsis" vert="horz" wrap="square" anchor="ctr" anchorCtr="1"/>
                <a:lstStyle/>
                <a:p>
                  <a:pPr>
                    <a:defRPr sz="1000" b="0" i="0" u="none" strike="noStrike" kern="1200" spc="0" baseline="0">
                      <a:solidFill>
                        <a:schemeClr val="accent3">
                          <a:lumMod val="80000"/>
                          <a:lumOff val="2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80E5-9B47-BED8-6AAC80218E3E}"/>
                </c:ext>
              </c:extLst>
            </c:dLbl>
            <c:dLbl>
              <c:idx val="15"/>
              <c:spPr>
                <a:noFill/>
                <a:ln>
                  <a:noFill/>
                </a:ln>
                <a:effectLst/>
              </c:spPr>
              <c:txPr>
                <a:bodyPr rot="0" spcFirstLastPara="1" vertOverflow="ellipsis" vert="horz" wrap="square" anchor="ctr" anchorCtr="1"/>
                <a:lstStyle/>
                <a:p>
                  <a:pPr>
                    <a:defRPr sz="1000" b="0" i="0" u="none" strike="noStrike" kern="1200" spc="0" baseline="0">
                      <a:solidFill>
                        <a:schemeClr val="accent4">
                          <a:lumMod val="80000"/>
                          <a:lumOff val="2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F-80E5-9B47-BED8-6AAC80218E3E}"/>
                </c:ext>
              </c:extLst>
            </c:dLbl>
            <c:dLbl>
              <c:idx val="16"/>
              <c:layout>
                <c:manualLayout>
                  <c:x val="5.9627427006406816E-2"/>
                  <c:y val="-2.7708232899458996E-2"/>
                </c:manualLayout>
              </c:layout>
              <c:spPr>
                <a:noFill/>
                <a:ln>
                  <a:noFill/>
                </a:ln>
                <a:effectLst/>
              </c:spPr>
              <c:txPr>
                <a:bodyPr rot="0" spcFirstLastPara="1" vertOverflow="ellipsis" vert="horz" wrap="square" anchor="ctr" anchorCtr="1"/>
                <a:lstStyle/>
                <a:p>
                  <a:pPr>
                    <a:defRPr sz="1000" b="0" i="0" u="none" strike="noStrike" kern="1200" spc="0" baseline="0">
                      <a:solidFill>
                        <a:schemeClr val="accent5">
                          <a:lumMod val="80000"/>
                          <a:lumOff val="2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50250931677018629"/>
                      <c:h val="0.18658176656489367"/>
                    </c:manualLayout>
                  </c15:layout>
                </c:ext>
                <c:ext xmlns:c16="http://schemas.microsoft.com/office/drawing/2014/chart" uri="{C3380CC4-5D6E-409C-BE32-E72D297353CC}">
                  <c16:uniqueId val="{00000021-80E5-9B47-BED8-6AAC80218E3E}"/>
                </c:ext>
              </c:extLst>
            </c:dLbl>
            <c:spPr>
              <a:noFill/>
              <a:ln>
                <a:noFill/>
              </a:ln>
              <a:effectLst/>
            </c:sp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'[1]All_AI Tools'!$K$10:$K$26</c:f>
              <c:strCache>
                <c:ptCount val="17"/>
                <c:pt idx="0">
                  <c:v>ChatGPT</c:v>
                </c:pt>
                <c:pt idx="1">
                  <c:v>Gemini</c:v>
                </c:pt>
                <c:pt idx="2">
                  <c:v>Figma</c:v>
                </c:pt>
                <c:pt idx="3">
                  <c:v>Watsonx</c:v>
                </c:pt>
                <c:pt idx="4">
                  <c:v>Notion</c:v>
                </c:pt>
                <c:pt idx="5">
                  <c:v>Midjourney</c:v>
                </c:pt>
                <c:pt idx="6">
                  <c:v>LLMs</c:v>
                </c:pt>
                <c:pt idx="7">
                  <c:v>Copilot</c:v>
                </c:pt>
                <c:pt idx="8">
                  <c:v>Adobe</c:v>
                </c:pt>
                <c:pt idx="9">
                  <c:v>Miro</c:v>
                </c:pt>
                <c:pt idx="10">
                  <c:v>Runway</c:v>
                </c:pt>
                <c:pt idx="11">
                  <c:v>Perplexity</c:v>
                </c:pt>
                <c:pt idx="12">
                  <c:v>Claude</c:v>
                </c:pt>
                <c:pt idx="13">
                  <c:v>Confluence</c:v>
                </c:pt>
                <c:pt idx="14">
                  <c:v>NotebookLM</c:v>
                </c:pt>
                <c:pt idx="15">
                  <c:v>Customised AI</c:v>
                </c:pt>
                <c:pt idx="16">
                  <c:v>Miccelaneous (Single mention's)</c:v>
                </c:pt>
              </c:strCache>
            </c:strRef>
          </c:cat>
          <c:val>
            <c:numRef>
              <c:f>'[1]All_AI Tools'!$L$10:$L$26</c:f>
              <c:numCache>
                <c:formatCode>General</c:formatCode>
                <c:ptCount val="17"/>
                <c:pt idx="0">
                  <c:v>55</c:v>
                </c:pt>
                <c:pt idx="1">
                  <c:v>8</c:v>
                </c:pt>
                <c:pt idx="2">
                  <c:v>5</c:v>
                </c:pt>
                <c:pt idx="3">
                  <c:v>5</c:v>
                </c:pt>
                <c:pt idx="4">
                  <c:v>4</c:v>
                </c:pt>
                <c:pt idx="5">
                  <c:v>3</c:v>
                </c:pt>
                <c:pt idx="6">
                  <c:v>3</c:v>
                </c:pt>
                <c:pt idx="7">
                  <c:v>3</c:v>
                </c:pt>
                <c:pt idx="8">
                  <c:v>2</c:v>
                </c:pt>
                <c:pt idx="9">
                  <c:v>2</c:v>
                </c:pt>
                <c:pt idx="10">
                  <c:v>2</c:v>
                </c:pt>
                <c:pt idx="11">
                  <c:v>2</c:v>
                </c:pt>
                <c:pt idx="12">
                  <c:v>2</c:v>
                </c:pt>
                <c:pt idx="13">
                  <c:v>2</c:v>
                </c:pt>
                <c:pt idx="14">
                  <c:v>2</c:v>
                </c:pt>
                <c:pt idx="15">
                  <c:v>2</c:v>
                </c:pt>
                <c:pt idx="16">
                  <c:v>20</c:v>
                </c:pt>
              </c:numCache>
            </c:numRef>
          </c:val>
          <c:extLst>
            <c:ext xmlns:c16="http://schemas.microsoft.com/office/drawing/2014/chart" uri="{C3380CC4-5D6E-409C-BE32-E72D297353CC}">
              <c16:uniqueId val="{00000022-80E5-9B47-BED8-6AAC80218E3E}"/>
            </c:ext>
          </c:extLst>
        </c:ser>
        <c:dLbls>
          <c:dLblPos val="bestFit"/>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0">
          <a:latin typeface="Yu Gothic UI Semilight" panose="020B0400000000000000" pitchFamily="34" charset="-128"/>
          <a:ea typeface="Yu Gothic UI Semilight" panose="020B0400000000000000" pitchFamily="34" charset="-128"/>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Yu Gothic UI Semilight" panose="020B0400000000000000" pitchFamily="34" charset="-128"/>
                <a:ea typeface="Yu Gothic UI Semilight" panose="020B0400000000000000" pitchFamily="34" charset="-128"/>
                <a:cs typeface="+mn-cs"/>
              </a:defRPr>
            </a:pPr>
            <a:r>
              <a:rPr lang="en-GB"/>
              <a:t>Engineering Design</a:t>
            </a:r>
          </a:p>
        </c:rich>
      </c:tx>
      <c:layout>
        <c:manualLayout>
          <c:xMode val="edge"/>
          <c:yMode val="edge"/>
          <c:x val="0.63779324139918459"/>
          <c:y val="0.02"/>
        </c:manualLayout>
      </c:layout>
      <c:overlay val="0"/>
      <c:spPr>
        <a:noFill/>
        <a:ln>
          <a:noFill/>
        </a:ln>
        <a:effectLst/>
      </c:spPr>
      <c:txPr>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Yu Gothic UI Semilight" panose="020B0400000000000000" pitchFamily="34" charset="-128"/>
              <a:ea typeface="Yu Gothic UI Semilight" panose="020B0400000000000000" pitchFamily="34" charset="-128"/>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13C-C946-82C1-8BBBFCEF87B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13C-C946-82C1-8BBBFCEF87B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13C-C946-82C1-8BBBFCEF87B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13C-C946-82C1-8BBBFCEF87BF}"/>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313C-C946-82C1-8BBBFCEF87BF}"/>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313C-C946-82C1-8BBBFCEF87BF}"/>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313C-C946-82C1-8BBBFCEF87BF}"/>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313C-C946-82C1-8BBBFCEF87BF}"/>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313C-C946-82C1-8BBBFCEF87BF}"/>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313C-C946-82C1-8BBBFCEF87BF}"/>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313C-C946-82C1-8BBBFCEF87BF}"/>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313C-C946-82C1-8BBBFCEF87BF}"/>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313C-C946-82C1-8BBBFCEF87BF}"/>
              </c:ext>
            </c:extLst>
          </c:dPt>
          <c:dLbls>
            <c:dLbl>
              <c:idx val="0"/>
              <c:layout>
                <c:manualLayout>
                  <c:x val="2.7991151267555494E-2"/>
                  <c:y val="8.1595800524933773E-3"/>
                </c:manualLayout>
              </c:layout>
              <c:spPr>
                <a:noFill/>
                <a:ln>
                  <a:noFill/>
                </a:ln>
                <a:effectLst/>
              </c:spPr>
              <c:txPr>
                <a:bodyPr rot="0" spcFirstLastPara="1" vertOverflow="ellipsis" vert="horz" wrap="square" anchor="ctr" anchorCtr="1"/>
                <a:lstStyle/>
                <a:p>
                  <a:pPr>
                    <a:defRPr sz="1000" b="0" i="0" u="none" strike="noStrike" kern="1200" spc="0" baseline="0">
                      <a:solidFill>
                        <a:schemeClr val="accent1"/>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13C-C946-82C1-8BBBFCEF87BF}"/>
                </c:ext>
              </c:extLst>
            </c:dLbl>
            <c:dLbl>
              <c:idx val="1"/>
              <c:layout>
                <c:manualLayout>
                  <c:x val="0.17380571777289941"/>
                  <c:y val="-4.189947506561692E-2"/>
                </c:manualLayout>
              </c:layout>
              <c:spPr>
                <a:noFill/>
                <a:ln>
                  <a:noFill/>
                </a:ln>
                <a:effectLst/>
              </c:spPr>
              <c:txPr>
                <a:bodyPr rot="0" spcFirstLastPara="1" vertOverflow="ellipsis" vert="horz" wrap="square" anchor="ctr" anchorCtr="1"/>
                <a:lstStyle/>
                <a:p>
                  <a:pPr>
                    <a:defRPr sz="1000" b="0" i="0" u="none" strike="noStrike" kern="1200" spc="0" baseline="0">
                      <a:solidFill>
                        <a:schemeClr val="accent2"/>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13C-C946-82C1-8BBBFCEF87BF}"/>
                </c:ext>
              </c:extLst>
            </c:dLbl>
            <c:dLbl>
              <c:idx val="2"/>
              <c:spPr>
                <a:noFill/>
                <a:ln>
                  <a:noFill/>
                </a:ln>
                <a:effectLst/>
              </c:spPr>
              <c:txPr>
                <a:bodyPr rot="0" spcFirstLastPara="1" vertOverflow="ellipsis" vert="horz" wrap="square" anchor="ctr" anchorCtr="1"/>
                <a:lstStyle/>
                <a:p>
                  <a:pPr>
                    <a:defRPr sz="1000" b="0" i="0" u="none" strike="noStrike" kern="1200" spc="0" baseline="0">
                      <a:solidFill>
                        <a:schemeClr val="accent3"/>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3C-C946-82C1-8BBBFCEF87BF}"/>
                </c:ext>
              </c:extLst>
            </c:dLbl>
            <c:dLbl>
              <c:idx val="3"/>
              <c:spPr>
                <a:noFill/>
                <a:ln>
                  <a:noFill/>
                </a:ln>
                <a:effectLst/>
              </c:spPr>
              <c:txPr>
                <a:bodyPr rot="0" spcFirstLastPara="1" vertOverflow="ellipsis" vert="horz" wrap="square" anchor="ctr" anchorCtr="1"/>
                <a:lstStyle/>
                <a:p>
                  <a:pPr>
                    <a:defRPr sz="1000" b="0" i="0" u="none" strike="noStrike" kern="1200" spc="0" baseline="0">
                      <a:solidFill>
                        <a:schemeClr val="accent4"/>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13C-C946-82C1-8BBBFCEF87BF}"/>
                </c:ext>
              </c:extLst>
            </c:dLbl>
            <c:dLbl>
              <c:idx val="4"/>
              <c:spPr>
                <a:noFill/>
                <a:ln>
                  <a:noFill/>
                </a:ln>
                <a:effectLst/>
              </c:spPr>
              <c:txPr>
                <a:bodyPr rot="0" spcFirstLastPara="1" vertOverflow="ellipsis" vert="horz" wrap="square" anchor="ctr" anchorCtr="1"/>
                <a:lstStyle/>
                <a:p>
                  <a:pPr>
                    <a:defRPr sz="1000" b="0" i="0" u="none" strike="noStrike" kern="1200" spc="0" baseline="0">
                      <a:solidFill>
                        <a:schemeClr val="accent5"/>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13C-C946-82C1-8BBBFCEF87BF}"/>
                </c:ext>
              </c:extLst>
            </c:dLbl>
            <c:dLbl>
              <c:idx val="5"/>
              <c:layout>
                <c:manualLayout>
                  <c:x val="-2.1523863607468871E-2"/>
                  <c:y val="-1.0242519685039369E-2"/>
                </c:manualLayout>
              </c:layout>
              <c:spPr>
                <a:noFill/>
                <a:ln>
                  <a:noFill/>
                </a:ln>
                <a:effectLst/>
              </c:spPr>
              <c:txPr>
                <a:bodyPr rot="0" spcFirstLastPara="1" vertOverflow="ellipsis" vert="horz" wrap="square" anchor="ctr" anchorCtr="1"/>
                <a:lstStyle/>
                <a:p>
                  <a:pPr>
                    <a:defRPr sz="1000" b="0" i="0" u="none" strike="noStrike" kern="1200" spc="0" baseline="0">
                      <a:solidFill>
                        <a:schemeClr val="accent6"/>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313C-C946-82C1-8BBBFCEF87BF}"/>
                </c:ext>
              </c:extLst>
            </c:dLbl>
            <c:dLbl>
              <c:idx val="6"/>
              <c:layout>
                <c:manualLayout>
                  <c:x val="-3.841146605866947E-3"/>
                  <c:y val="1.9998950131233595E-2"/>
                </c:manualLayout>
              </c:layout>
              <c:spPr>
                <a:noFill/>
                <a:ln>
                  <a:noFill/>
                </a:ln>
                <a:effectLst/>
              </c:spPr>
              <c:txPr>
                <a:bodyPr rot="0" spcFirstLastPara="1" vertOverflow="ellipsis" vert="horz" wrap="square" anchor="ctr" anchorCtr="1"/>
                <a:lstStyle/>
                <a:p>
                  <a:pPr>
                    <a:defRPr sz="1000" b="0" i="0" u="none" strike="noStrike" kern="1200" spc="0" baseline="0">
                      <a:solidFill>
                        <a:schemeClr val="accent1">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313C-C946-82C1-8BBBFCEF87BF}"/>
                </c:ext>
              </c:extLst>
            </c:dLbl>
            <c:dLbl>
              <c:idx val="7"/>
              <c:layout>
                <c:manualLayout>
                  <c:x val="-4.951560818083961E-2"/>
                  <c:y val="1.4771391076115485E-2"/>
                </c:manualLayout>
              </c:layout>
              <c:spPr>
                <a:noFill/>
                <a:ln>
                  <a:noFill/>
                </a:ln>
                <a:effectLst/>
              </c:spPr>
              <c:txPr>
                <a:bodyPr rot="0" spcFirstLastPara="1" vertOverflow="ellipsis" vert="horz" wrap="square" anchor="ctr" anchorCtr="1"/>
                <a:lstStyle/>
                <a:p>
                  <a:pPr>
                    <a:defRPr sz="1000" b="0" i="0" u="none" strike="noStrike" kern="1200" spc="0" baseline="0">
                      <a:solidFill>
                        <a:schemeClr val="accent2">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3735199138858989"/>
                      <c:h val="5.5E-2"/>
                    </c:manualLayout>
                  </c15:layout>
                </c:ext>
                <c:ext xmlns:c16="http://schemas.microsoft.com/office/drawing/2014/chart" uri="{C3380CC4-5D6E-409C-BE32-E72D297353CC}">
                  <c16:uniqueId val="{0000000F-313C-C946-82C1-8BBBFCEF87BF}"/>
                </c:ext>
              </c:extLst>
            </c:dLbl>
            <c:dLbl>
              <c:idx val="8"/>
              <c:spPr>
                <a:noFill/>
                <a:ln>
                  <a:noFill/>
                </a:ln>
                <a:effectLst/>
              </c:spPr>
              <c:txPr>
                <a:bodyPr rot="0" spcFirstLastPara="1" vertOverflow="ellipsis" vert="horz" wrap="square" anchor="ctr" anchorCtr="1"/>
                <a:lstStyle/>
                <a:p>
                  <a:pPr>
                    <a:defRPr sz="1000" b="0" i="0" u="none" strike="noStrike" kern="1200" spc="0" baseline="0">
                      <a:solidFill>
                        <a:schemeClr val="accent3">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13C-C946-82C1-8BBBFCEF87BF}"/>
                </c:ext>
              </c:extLst>
            </c:dLbl>
            <c:dLbl>
              <c:idx val="9"/>
              <c:spPr>
                <a:noFill/>
                <a:ln>
                  <a:noFill/>
                </a:ln>
                <a:effectLst/>
              </c:spPr>
              <c:txPr>
                <a:bodyPr rot="0" spcFirstLastPara="1" vertOverflow="ellipsis" vert="horz" wrap="square" anchor="ctr" anchorCtr="1"/>
                <a:lstStyle/>
                <a:p>
                  <a:pPr>
                    <a:defRPr sz="1000" b="0" i="0" u="none" strike="noStrike" kern="1200" spc="0" baseline="0">
                      <a:solidFill>
                        <a:schemeClr val="accent4">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13C-C946-82C1-8BBBFCEF87BF}"/>
                </c:ext>
              </c:extLst>
            </c:dLbl>
            <c:dLbl>
              <c:idx val="10"/>
              <c:spPr>
                <a:noFill/>
                <a:ln>
                  <a:noFill/>
                </a:ln>
                <a:effectLst/>
              </c:spPr>
              <c:txPr>
                <a:bodyPr rot="0" spcFirstLastPara="1" vertOverflow="ellipsis" vert="horz" wrap="square" anchor="ctr" anchorCtr="1"/>
                <a:lstStyle/>
                <a:p>
                  <a:pPr>
                    <a:defRPr sz="1000" b="0" i="0" u="none" strike="noStrike" kern="1200" spc="0" baseline="0">
                      <a:solidFill>
                        <a:schemeClr val="accent5">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13C-C946-82C1-8BBBFCEF87BF}"/>
                </c:ext>
              </c:extLst>
            </c:dLbl>
            <c:dLbl>
              <c:idx val="11"/>
              <c:layout>
                <c:manualLayout>
                  <c:x val="-3.8751430290804606E-2"/>
                  <c:y val="-5.1432808398950133E-2"/>
                </c:manualLayout>
              </c:layout>
              <c:spPr>
                <a:noFill/>
                <a:ln>
                  <a:noFill/>
                </a:ln>
                <a:effectLst/>
              </c:spPr>
              <c:txPr>
                <a:bodyPr rot="0" spcFirstLastPara="1" vertOverflow="ellipsis" vert="horz" wrap="square" anchor="ctr" anchorCtr="1"/>
                <a:lstStyle/>
                <a:p>
                  <a:pPr>
                    <a:defRPr sz="1000" b="0" i="0" u="none" strike="noStrike" kern="1200" spc="0" baseline="0">
                      <a:solidFill>
                        <a:schemeClr val="accent6">
                          <a:lumMod val="6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6415500538213129"/>
                      <c:h val="0.11"/>
                    </c:manualLayout>
                  </c15:layout>
                </c:ext>
                <c:ext xmlns:c16="http://schemas.microsoft.com/office/drawing/2014/chart" uri="{C3380CC4-5D6E-409C-BE32-E72D297353CC}">
                  <c16:uniqueId val="{00000017-313C-C946-82C1-8BBBFCEF87BF}"/>
                </c:ext>
              </c:extLst>
            </c:dLbl>
            <c:dLbl>
              <c:idx val="12"/>
              <c:spPr>
                <a:noFill/>
                <a:ln>
                  <a:noFill/>
                </a:ln>
                <a:effectLst/>
              </c:spPr>
              <c:txPr>
                <a:bodyPr rot="0" spcFirstLastPara="1" vertOverflow="ellipsis" vert="horz" wrap="square" anchor="ctr" anchorCtr="1"/>
                <a:lstStyle/>
                <a:p>
                  <a:pPr>
                    <a:defRPr sz="1000" b="0" i="0" u="none" strike="noStrike" kern="1200" spc="0" baseline="0">
                      <a:solidFill>
                        <a:schemeClr val="accent1">
                          <a:lumMod val="80000"/>
                          <a:lumOff val="20000"/>
                        </a:schemeClr>
                      </a:solidFill>
                      <a:latin typeface="Yu Gothic UI Semilight" panose="020B0400000000000000" pitchFamily="34" charset="-128"/>
                      <a:ea typeface="Yu Gothic UI Semilight" panose="020B0400000000000000" pitchFamily="34" charset="-128"/>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8105489773950485"/>
                      <c:h val="0.1125"/>
                    </c:manualLayout>
                  </c15:layout>
                </c:ext>
                <c:ext xmlns:c16="http://schemas.microsoft.com/office/drawing/2014/chart" uri="{C3380CC4-5D6E-409C-BE32-E72D297353CC}">
                  <c16:uniqueId val="{00000019-313C-C946-82C1-8BBBFCEF87BF}"/>
                </c:ext>
              </c:extLst>
            </c:dLbl>
            <c:spPr>
              <a:noFill/>
              <a:ln>
                <a:noFill/>
              </a:ln>
              <a:effectLst/>
            </c:sp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'[1]All_AI Tools'!$C$10:$C$22</c:f>
              <c:strCache>
                <c:ptCount val="13"/>
                <c:pt idx="0">
                  <c:v>ChatGPT</c:v>
                </c:pt>
                <c:pt idx="1">
                  <c:v>Gemini</c:v>
                </c:pt>
                <c:pt idx="2">
                  <c:v>ML (Python)</c:v>
                </c:pt>
                <c:pt idx="3">
                  <c:v>Claude</c:v>
                </c:pt>
                <c:pt idx="4">
                  <c:v>Midjourney </c:v>
                </c:pt>
                <c:pt idx="5">
                  <c:v>Vizcom</c:v>
                </c:pt>
                <c:pt idx="6">
                  <c:v>Kling </c:v>
                </c:pt>
                <c:pt idx="7">
                  <c:v>Co-pilot</c:v>
                </c:pt>
                <c:pt idx="8">
                  <c:v>Google Co-scientist</c:v>
                </c:pt>
                <c:pt idx="9">
                  <c:v>Monday.com</c:v>
                </c:pt>
                <c:pt idx="10">
                  <c:v>Canva</c:v>
                </c:pt>
                <c:pt idx="11">
                  <c:v>LLM</c:v>
                </c:pt>
                <c:pt idx="12">
                  <c:v>Miccelaneous (Single mention's)</c:v>
                </c:pt>
              </c:strCache>
            </c:strRef>
          </c:cat>
          <c:val>
            <c:numRef>
              <c:f>'[1]All_AI Tools'!$D$10:$D$22</c:f>
              <c:numCache>
                <c:formatCode>General</c:formatCode>
                <c:ptCount val="13"/>
                <c:pt idx="0">
                  <c:v>45</c:v>
                </c:pt>
                <c:pt idx="1">
                  <c:v>10</c:v>
                </c:pt>
                <c:pt idx="2">
                  <c:v>6</c:v>
                </c:pt>
                <c:pt idx="3">
                  <c:v>5</c:v>
                </c:pt>
                <c:pt idx="4">
                  <c:v>5</c:v>
                </c:pt>
                <c:pt idx="5">
                  <c:v>4</c:v>
                </c:pt>
                <c:pt idx="6">
                  <c:v>4</c:v>
                </c:pt>
                <c:pt idx="7">
                  <c:v>4</c:v>
                </c:pt>
                <c:pt idx="8">
                  <c:v>3</c:v>
                </c:pt>
                <c:pt idx="9">
                  <c:v>2</c:v>
                </c:pt>
                <c:pt idx="10">
                  <c:v>2</c:v>
                </c:pt>
                <c:pt idx="11">
                  <c:v>2</c:v>
                </c:pt>
                <c:pt idx="12">
                  <c:v>9</c:v>
                </c:pt>
              </c:numCache>
            </c:numRef>
          </c:val>
          <c:extLst>
            <c:ext xmlns:c16="http://schemas.microsoft.com/office/drawing/2014/chart" uri="{C3380CC4-5D6E-409C-BE32-E72D297353CC}">
              <c16:uniqueId val="{0000001A-313C-C946-82C1-8BBBFCEF87BF}"/>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0">
          <a:latin typeface="Yu Gothic UI Semilight" panose="020B0400000000000000" pitchFamily="34" charset="-128"/>
          <a:ea typeface="Yu Gothic UI Semilight" panose="020B0400000000000000" pitchFamily="34" charset="-128"/>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'[1]All_AI Tools'!$C$51</c:f>
              <c:strCache>
                <c:ptCount val="1"/>
                <c:pt idx="0">
                  <c:v>Discover</c:v>
                </c:pt>
              </c:strCache>
            </c:strRef>
          </c:tx>
          <c:spPr>
            <a:solidFill>
              <a:schemeClr val="accent1"/>
            </a:solidFill>
            <a:ln>
              <a:noFill/>
            </a:ln>
            <a:effectLst/>
          </c:spPr>
          <c:invertIfNegative val="0"/>
          <c:cat>
            <c:multiLvlStrRef>
              <c:f>'[1]All_AI Tools'!$D$49:$I$50</c:f>
              <c:multiLvlStrCache>
                <c:ptCount val="6"/>
                <c:lvl>
                  <c:pt idx="0">
                    <c:v>GenAI</c:v>
                  </c:pt>
                  <c:pt idx="1">
                    <c:v>ML</c:v>
                  </c:pt>
                  <c:pt idx="2">
                    <c:v>GenAI</c:v>
                  </c:pt>
                  <c:pt idx="3">
                    <c:v>ML</c:v>
                  </c:pt>
                  <c:pt idx="4">
                    <c:v>GenAI</c:v>
                  </c:pt>
                  <c:pt idx="5">
                    <c:v>ML</c:v>
                  </c:pt>
                </c:lvl>
                <c:lvl>
                  <c:pt idx="0">
                    <c:v>Engineering Design </c:v>
                  </c:pt>
                  <c:pt idx="2">
                    <c:v>Service Design</c:v>
                  </c:pt>
                  <c:pt idx="4">
                    <c:v>UI/UX</c:v>
                  </c:pt>
                </c:lvl>
              </c:multiLvlStrCache>
            </c:multiLvlStrRef>
          </c:cat>
          <c:val>
            <c:numRef>
              <c:f>'[1]All_AI Tools'!$D$51:$I$51</c:f>
              <c:numCache>
                <c:formatCode>General</c:formatCode>
                <c:ptCount val="6"/>
                <c:pt idx="0">
                  <c:v>30</c:v>
                </c:pt>
                <c:pt idx="1">
                  <c:v>2</c:v>
                </c:pt>
                <c:pt idx="2">
                  <c:v>49</c:v>
                </c:pt>
                <c:pt idx="3">
                  <c:v>1</c:v>
                </c:pt>
                <c:pt idx="4">
                  <c:v>23</c:v>
                </c:pt>
                <c:pt idx="5">
                  <c:v>0</c:v>
                </c:pt>
              </c:numCache>
            </c:numRef>
          </c:val>
          <c:extLst>
            <c:ext xmlns:c16="http://schemas.microsoft.com/office/drawing/2014/chart" uri="{C3380CC4-5D6E-409C-BE32-E72D297353CC}">
              <c16:uniqueId val="{00000000-C09E-4F4F-B978-906A4EEDC87F}"/>
            </c:ext>
          </c:extLst>
        </c:ser>
        <c:ser>
          <c:idx val="1"/>
          <c:order val="1"/>
          <c:tx>
            <c:strRef>
              <c:f>'[1]All_AI Tools'!$C$52</c:f>
              <c:strCache>
                <c:ptCount val="1"/>
                <c:pt idx="0">
                  <c:v>Define</c:v>
                </c:pt>
              </c:strCache>
            </c:strRef>
          </c:tx>
          <c:spPr>
            <a:solidFill>
              <a:schemeClr val="accent2"/>
            </a:solidFill>
            <a:ln>
              <a:noFill/>
            </a:ln>
            <a:effectLst/>
          </c:spPr>
          <c:invertIfNegative val="0"/>
          <c:cat>
            <c:multiLvlStrRef>
              <c:f>'[1]All_AI Tools'!$D$49:$I$50</c:f>
              <c:multiLvlStrCache>
                <c:ptCount val="6"/>
                <c:lvl>
                  <c:pt idx="0">
                    <c:v>GenAI</c:v>
                  </c:pt>
                  <c:pt idx="1">
                    <c:v>ML</c:v>
                  </c:pt>
                  <c:pt idx="2">
                    <c:v>GenAI</c:v>
                  </c:pt>
                  <c:pt idx="3">
                    <c:v>ML</c:v>
                  </c:pt>
                  <c:pt idx="4">
                    <c:v>GenAI</c:v>
                  </c:pt>
                  <c:pt idx="5">
                    <c:v>ML</c:v>
                  </c:pt>
                </c:lvl>
                <c:lvl>
                  <c:pt idx="0">
                    <c:v>Engineering Design </c:v>
                  </c:pt>
                  <c:pt idx="2">
                    <c:v>Service Design</c:v>
                  </c:pt>
                  <c:pt idx="4">
                    <c:v>UI/UX</c:v>
                  </c:pt>
                </c:lvl>
              </c:multiLvlStrCache>
            </c:multiLvlStrRef>
          </c:cat>
          <c:val>
            <c:numRef>
              <c:f>'[1]All_AI Tools'!$D$52:$I$52</c:f>
              <c:numCache>
                <c:formatCode>General</c:formatCode>
                <c:ptCount val="6"/>
                <c:pt idx="0">
                  <c:v>28</c:v>
                </c:pt>
                <c:pt idx="1">
                  <c:v>2</c:v>
                </c:pt>
                <c:pt idx="2">
                  <c:v>34</c:v>
                </c:pt>
                <c:pt idx="3">
                  <c:v>1</c:v>
                </c:pt>
                <c:pt idx="4">
                  <c:v>26</c:v>
                </c:pt>
                <c:pt idx="5">
                  <c:v>0</c:v>
                </c:pt>
              </c:numCache>
            </c:numRef>
          </c:val>
          <c:extLst>
            <c:ext xmlns:c16="http://schemas.microsoft.com/office/drawing/2014/chart" uri="{C3380CC4-5D6E-409C-BE32-E72D297353CC}">
              <c16:uniqueId val="{00000001-C09E-4F4F-B978-906A4EEDC87F}"/>
            </c:ext>
          </c:extLst>
        </c:ser>
        <c:ser>
          <c:idx val="2"/>
          <c:order val="2"/>
          <c:tx>
            <c:strRef>
              <c:f>'[1]All_AI Tools'!$C$53</c:f>
              <c:strCache>
                <c:ptCount val="1"/>
                <c:pt idx="0">
                  <c:v>Develop</c:v>
                </c:pt>
              </c:strCache>
            </c:strRef>
          </c:tx>
          <c:spPr>
            <a:solidFill>
              <a:schemeClr val="accent3"/>
            </a:solidFill>
            <a:ln>
              <a:noFill/>
            </a:ln>
            <a:effectLst/>
          </c:spPr>
          <c:invertIfNegative val="0"/>
          <c:cat>
            <c:multiLvlStrRef>
              <c:f>'[1]All_AI Tools'!$D$49:$I$50</c:f>
              <c:multiLvlStrCache>
                <c:ptCount val="6"/>
                <c:lvl>
                  <c:pt idx="0">
                    <c:v>GenAI</c:v>
                  </c:pt>
                  <c:pt idx="1">
                    <c:v>ML</c:v>
                  </c:pt>
                  <c:pt idx="2">
                    <c:v>GenAI</c:v>
                  </c:pt>
                  <c:pt idx="3">
                    <c:v>ML</c:v>
                  </c:pt>
                  <c:pt idx="4">
                    <c:v>GenAI</c:v>
                  </c:pt>
                  <c:pt idx="5">
                    <c:v>ML</c:v>
                  </c:pt>
                </c:lvl>
                <c:lvl>
                  <c:pt idx="0">
                    <c:v>Engineering Design </c:v>
                  </c:pt>
                  <c:pt idx="2">
                    <c:v>Service Design</c:v>
                  </c:pt>
                  <c:pt idx="4">
                    <c:v>UI/UX</c:v>
                  </c:pt>
                </c:lvl>
              </c:multiLvlStrCache>
            </c:multiLvlStrRef>
          </c:cat>
          <c:val>
            <c:numRef>
              <c:f>'[1]All_AI Tools'!$D$53:$I$53</c:f>
              <c:numCache>
                <c:formatCode>General</c:formatCode>
                <c:ptCount val="6"/>
                <c:pt idx="0">
                  <c:v>32</c:v>
                </c:pt>
                <c:pt idx="1">
                  <c:v>0</c:v>
                </c:pt>
                <c:pt idx="2">
                  <c:v>50</c:v>
                </c:pt>
                <c:pt idx="3">
                  <c:v>0</c:v>
                </c:pt>
                <c:pt idx="4">
                  <c:v>52</c:v>
                </c:pt>
                <c:pt idx="5">
                  <c:v>2</c:v>
                </c:pt>
              </c:numCache>
            </c:numRef>
          </c:val>
          <c:extLst>
            <c:ext xmlns:c16="http://schemas.microsoft.com/office/drawing/2014/chart" uri="{C3380CC4-5D6E-409C-BE32-E72D297353CC}">
              <c16:uniqueId val="{00000002-C09E-4F4F-B978-906A4EEDC87F}"/>
            </c:ext>
          </c:extLst>
        </c:ser>
        <c:ser>
          <c:idx val="3"/>
          <c:order val="3"/>
          <c:tx>
            <c:strRef>
              <c:f>'[1]All_AI Tools'!$C$54</c:f>
              <c:strCache>
                <c:ptCount val="1"/>
                <c:pt idx="0">
                  <c:v>Deliver</c:v>
                </c:pt>
              </c:strCache>
            </c:strRef>
          </c:tx>
          <c:spPr>
            <a:solidFill>
              <a:schemeClr val="accent4"/>
            </a:solidFill>
            <a:ln>
              <a:noFill/>
            </a:ln>
            <a:effectLst/>
          </c:spPr>
          <c:invertIfNegative val="0"/>
          <c:cat>
            <c:multiLvlStrRef>
              <c:f>'[1]All_AI Tools'!$D$49:$I$50</c:f>
              <c:multiLvlStrCache>
                <c:ptCount val="6"/>
                <c:lvl>
                  <c:pt idx="0">
                    <c:v>GenAI</c:v>
                  </c:pt>
                  <c:pt idx="1">
                    <c:v>ML</c:v>
                  </c:pt>
                  <c:pt idx="2">
                    <c:v>GenAI</c:v>
                  </c:pt>
                  <c:pt idx="3">
                    <c:v>ML</c:v>
                  </c:pt>
                  <c:pt idx="4">
                    <c:v>GenAI</c:v>
                  </c:pt>
                  <c:pt idx="5">
                    <c:v>ML</c:v>
                  </c:pt>
                </c:lvl>
                <c:lvl>
                  <c:pt idx="0">
                    <c:v>Engineering Design </c:v>
                  </c:pt>
                  <c:pt idx="2">
                    <c:v>Service Design</c:v>
                  </c:pt>
                  <c:pt idx="4">
                    <c:v>UI/UX</c:v>
                  </c:pt>
                </c:lvl>
              </c:multiLvlStrCache>
            </c:multiLvlStrRef>
          </c:cat>
          <c:val>
            <c:numRef>
              <c:f>'[1]All_AI Tools'!$D$54:$I$54</c:f>
              <c:numCache>
                <c:formatCode>General</c:formatCode>
                <c:ptCount val="6"/>
                <c:pt idx="0">
                  <c:v>5</c:v>
                </c:pt>
                <c:pt idx="1">
                  <c:v>2</c:v>
                </c:pt>
                <c:pt idx="2">
                  <c:v>30</c:v>
                </c:pt>
                <c:pt idx="3">
                  <c:v>1</c:v>
                </c:pt>
                <c:pt idx="4">
                  <c:v>19</c:v>
                </c:pt>
                <c:pt idx="5">
                  <c:v>0</c:v>
                </c:pt>
              </c:numCache>
            </c:numRef>
          </c:val>
          <c:extLst>
            <c:ext xmlns:c16="http://schemas.microsoft.com/office/drawing/2014/chart" uri="{C3380CC4-5D6E-409C-BE32-E72D297353CC}">
              <c16:uniqueId val="{00000003-C09E-4F4F-B978-906A4EEDC87F}"/>
            </c:ext>
          </c:extLst>
        </c:ser>
        <c:dLbls>
          <c:showLegendKey val="0"/>
          <c:showVal val="0"/>
          <c:showCatName val="0"/>
          <c:showSerName val="0"/>
          <c:showPercent val="0"/>
          <c:showBubbleSize val="0"/>
        </c:dLbls>
        <c:gapWidth val="219"/>
        <c:overlap val="-27"/>
        <c:axId val="2019038639"/>
        <c:axId val="2019243871"/>
      </c:barChart>
      <c:catAx>
        <c:axId val="201903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243871"/>
        <c:crosses val="autoZero"/>
        <c:auto val="1"/>
        <c:lblAlgn val="ctr"/>
        <c:lblOffset val="100"/>
        <c:noMultiLvlLbl val="0"/>
      </c:catAx>
      <c:valAx>
        <c:axId val="2019243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03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660400</xdr:colOff>
      <xdr:row>23</xdr:row>
      <xdr:rowOff>165100</xdr:rowOff>
    </xdr:from>
    <xdr:to>
      <xdr:col>21</xdr:col>
      <xdr:colOff>615950</xdr:colOff>
      <xdr:row>40</xdr:row>
      <xdr:rowOff>63500</xdr:rowOff>
    </xdr:to>
    <xdr:graphicFrame macro="">
      <xdr:nvGraphicFramePr>
        <xdr:cNvPr id="2" name="Chart 1">
          <a:extLst>
            <a:ext uri="{FF2B5EF4-FFF2-40B4-BE49-F238E27FC236}">
              <a16:creationId xmlns:a16="http://schemas.microsoft.com/office/drawing/2014/main" id="{46EA2763-33CE-D448-831B-79F57B50F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679450</xdr:colOff>
      <xdr:row>40</xdr:row>
      <xdr:rowOff>165100</xdr:rowOff>
    </xdr:from>
    <xdr:to>
      <xdr:col>22</xdr:col>
      <xdr:colOff>101600</xdr:colOff>
      <xdr:row>56</xdr:row>
      <xdr:rowOff>190500</xdr:rowOff>
    </xdr:to>
    <xdr:graphicFrame macro="">
      <xdr:nvGraphicFramePr>
        <xdr:cNvPr id="3" name="Chart 2">
          <a:extLst>
            <a:ext uri="{FF2B5EF4-FFF2-40B4-BE49-F238E27FC236}">
              <a16:creationId xmlns:a16="http://schemas.microsoft.com/office/drawing/2014/main" id="{797512D2-1AD9-1342-93E1-5DFA33EE3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660400</xdr:colOff>
      <xdr:row>6</xdr:row>
      <xdr:rowOff>152400</xdr:rowOff>
    </xdr:from>
    <xdr:to>
      <xdr:col>21</xdr:col>
      <xdr:colOff>781050</xdr:colOff>
      <xdr:row>23</xdr:row>
      <xdr:rowOff>88900</xdr:rowOff>
    </xdr:to>
    <xdr:graphicFrame macro="">
      <xdr:nvGraphicFramePr>
        <xdr:cNvPr id="4" name="Chart 3">
          <a:extLst>
            <a:ext uri="{FF2B5EF4-FFF2-40B4-BE49-F238E27FC236}">
              <a16:creationId xmlns:a16="http://schemas.microsoft.com/office/drawing/2014/main" id="{38BCE16D-E8B4-174D-B08D-7ADB33ADD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6350</xdr:colOff>
      <xdr:row>57</xdr:row>
      <xdr:rowOff>25400</xdr:rowOff>
    </xdr:from>
    <xdr:to>
      <xdr:col>10</xdr:col>
      <xdr:colOff>577850</xdr:colOff>
      <xdr:row>74</xdr:row>
      <xdr:rowOff>0</xdr:rowOff>
    </xdr:to>
    <xdr:graphicFrame macro="">
      <xdr:nvGraphicFramePr>
        <xdr:cNvPr id="5" name="Chart 4">
          <a:extLst>
            <a:ext uri="{FF2B5EF4-FFF2-40B4-BE49-F238E27FC236}">
              <a16:creationId xmlns:a16="http://schemas.microsoft.com/office/drawing/2014/main" id="{A4E4C12C-C91B-9840-B471-3F359D85F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iversityofexeteruk-my.sharepoint.com/personal/b_l_lee_exeter_ac_uk/Documents/2024_EXETER/Researching/2026_JPIM/AI-led/00_Workshop%20Template%20Coding.xlsx" TargetMode="External"/><Relationship Id="rId1" Type="http://schemas.openxmlformats.org/officeDocument/2006/relationships/externalLinkPath" Target="00_Workshop%20Template%20Cod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de book"/>
      <sheetName val="ALL_Template Coding"/>
      <sheetName val="All_AI assistance types"/>
      <sheetName val="All_AI Tools"/>
      <sheetName val="All_Values"/>
      <sheetName val="UIUX_Template"/>
      <sheetName val="ED_Template"/>
      <sheetName val="SD_Template "/>
      <sheetName val="UIUX_Transcript"/>
      <sheetName val="SD_Transcript"/>
      <sheetName val="ED_Transcript_Final"/>
      <sheetName val="ED_Transcript"/>
    </sheetNames>
    <sheetDataSet>
      <sheetData sheetId="0"/>
      <sheetData sheetId="1"/>
      <sheetData sheetId="2"/>
      <sheetData sheetId="3">
        <row r="10">
          <cell r="C10" t="str">
            <v>ChatGPT</v>
          </cell>
          <cell r="D10">
            <v>45</v>
          </cell>
          <cell r="G10" t="str">
            <v>ChatGPT</v>
          </cell>
          <cell r="H10">
            <v>63</v>
          </cell>
          <cell r="K10" t="str">
            <v>ChatGPT</v>
          </cell>
          <cell r="L10">
            <v>55</v>
          </cell>
        </row>
        <row r="11">
          <cell r="C11" t="str">
            <v>Gemini</v>
          </cell>
          <cell r="D11">
            <v>10</v>
          </cell>
          <cell r="G11" t="str">
            <v>Gemini</v>
          </cell>
          <cell r="H11">
            <v>22</v>
          </cell>
          <cell r="K11" t="str">
            <v>Gemini</v>
          </cell>
          <cell r="L11">
            <v>8</v>
          </cell>
        </row>
        <row r="12">
          <cell r="C12" t="str">
            <v>ML (Python)</v>
          </cell>
          <cell r="D12">
            <v>6</v>
          </cell>
          <cell r="G12" t="str">
            <v>Perplexity</v>
          </cell>
          <cell r="H12">
            <v>12</v>
          </cell>
          <cell r="K12" t="str">
            <v>Figma</v>
          </cell>
          <cell r="L12">
            <v>5</v>
          </cell>
        </row>
        <row r="13">
          <cell r="C13" t="str">
            <v>Claude</v>
          </cell>
          <cell r="D13">
            <v>5</v>
          </cell>
          <cell r="G13" t="str">
            <v>Midjourney</v>
          </cell>
          <cell r="H13">
            <v>6</v>
          </cell>
          <cell r="K13" t="str">
            <v>Watsonx</v>
          </cell>
          <cell r="L13">
            <v>5</v>
          </cell>
        </row>
        <row r="14">
          <cell r="C14" t="str">
            <v xml:space="preserve">Midjourney </v>
          </cell>
          <cell r="D14">
            <v>5</v>
          </cell>
          <cell r="G14" t="str">
            <v>Claude</v>
          </cell>
          <cell r="H14">
            <v>6</v>
          </cell>
          <cell r="K14" t="str">
            <v>Notion</v>
          </cell>
          <cell r="L14">
            <v>4</v>
          </cell>
        </row>
        <row r="15">
          <cell r="C15" t="str">
            <v>Vizcom</v>
          </cell>
          <cell r="D15">
            <v>4</v>
          </cell>
          <cell r="G15" t="str">
            <v>Copilot</v>
          </cell>
          <cell r="H15">
            <v>5</v>
          </cell>
          <cell r="K15" t="str">
            <v>Midjourney</v>
          </cell>
          <cell r="L15">
            <v>3</v>
          </cell>
        </row>
        <row r="16">
          <cell r="C16" t="str">
            <v xml:space="preserve">Kling </v>
          </cell>
          <cell r="D16">
            <v>4</v>
          </cell>
          <cell r="G16" t="str">
            <v>Dall-E</v>
          </cell>
          <cell r="H16">
            <v>5</v>
          </cell>
          <cell r="K16" t="str">
            <v>LLMs</v>
          </cell>
          <cell r="L16">
            <v>3</v>
          </cell>
        </row>
        <row r="17">
          <cell r="C17" t="str">
            <v>Co-pilot</v>
          </cell>
          <cell r="D17">
            <v>4</v>
          </cell>
          <cell r="G17" t="str">
            <v>Figma</v>
          </cell>
          <cell r="H17">
            <v>5</v>
          </cell>
          <cell r="K17" t="str">
            <v>Copilot</v>
          </cell>
          <cell r="L17">
            <v>3</v>
          </cell>
        </row>
        <row r="18">
          <cell r="C18" t="str">
            <v>Google Co-scientist</v>
          </cell>
          <cell r="D18">
            <v>3</v>
          </cell>
          <cell r="G18" t="str">
            <v>CX Agents</v>
          </cell>
          <cell r="H18">
            <v>4</v>
          </cell>
          <cell r="K18" t="str">
            <v>Adobe</v>
          </cell>
          <cell r="L18">
            <v>2</v>
          </cell>
        </row>
        <row r="19">
          <cell r="C19" t="str">
            <v>Monday.com</v>
          </cell>
          <cell r="D19">
            <v>2</v>
          </cell>
          <cell r="G19" t="str">
            <v>Clova</v>
          </cell>
          <cell r="H19">
            <v>4</v>
          </cell>
          <cell r="K19" t="str">
            <v>Miro</v>
          </cell>
          <cell r="L19">
            <v>2</v>
          </cell>
        </row>
        <row r="20">
          <cell r="C20" t="str">
            <v>Canva</v>
          </cell>
          <cell r="D20">
            <v>2</v>
          </cell>
          <cell r="G20" t="str">
            <v>NotebookLM</v>
          </cell>
          <cell r="H20">
            <v>3</v>
          </cell>
          <cell r="K20" t="str">
            <v>Runway</v>
          </cell>
          <cell r="L20">
            <v>2</v>
          </cell>
        </row>
        <row r="21">
          <cell r="C21" t="str">
            <v>LLM</v>
          </cell>
          <cell r="D21">
            <v>2</v>
          </cell>
          <cell r="G21" t="str">
            <v>ML (Phython)</v>
          </cell>
          <cell r="H21">
            <v>3</v>
          </cell>
          <cell r="K21" t="str">
            <v>Perplexity</v>
          </cell>
          <cell r="L21">
            <v>2</v>
          </cell>
        </row>
        <row r="22">
          <cell r="C22" t="str">
            <v>Miccelaneous (Single mention's)</v>
          </cell>
          <cell r="D22">
            <v>9</v>
          </cell>
          <cell r="G22" t="str">
            <v>UX Pilot</v>
          </cell>
          <cell r="H22">
            <v>3</v>
          </cell>
          <cell r="K22" t="str">
            <v>Claude</v>
          </cell>
          <cell r="L22">
            <v>2</v>
          </cell>
        </row>
        <row r="23">
          <cell r="G23" t="str">
            <v>Canva</v>
          </cell>
          <cell r="H23">
            <v>3</v>
          </cell>
          <cell r="K23" t="str">
            <v>Confluence</v>
          </cell>
          <cell r="L23">
            <v>2</v>
          </cell>
        </row>
        <row r="24">
          <cell r="G24" t="str">
            <v>DeepSeek</v>
          </cell>
          <cell r="H24">
            <v>2</v>
          </cell>
          <cell r="K24" t="str">
            <v>NotebookLM</v>
          </cell>
          <cell r="L24">
            <v>2</v>
          </cell>
        </row>
        <row r="25">
          <cell r="G25" t="str">
            <v>LLMs</v>
          </cell>
          <cell r="H25">
            <v>2</v>
          </cell>
          <cell r="K25" t="str">
            <v>Customised AI</v>
          </cell>
          <cell r="L25">
            <v>2</v>
          </cell>
        </row>
        <row r="26">
          <cell r="G26" t="str">
            <v>BDM Agents</v>
          </cell>
          <cell r="H26">
            <v>2</v>
          </cell>
          <cell r="K26" t="str">
            <v>Miccelaneous (Single mention's)</v>
          </cell>
          <cell r="L26">
            <v>20</v>
          </cell>
        </row>
        <row r="27">
          <cell r="G27" t="str">
            <v>Slack</v>
          </cell>
          <cell r="H27">
            <v>2</v>
          </cell>
        </row>
        <row r="28">
          <cell r="G28" t="str">
            <v>Stitch</v>
          </cell>
          <cell r="H28">
            <v>2</v>
          </cell>
        </row>
        <row r="29">
          <cell r="G29" t="str">
            <v>Whimsical</v>
          </cell>
          <cell r="H29">
            <v>2</v>
          </cell>
        </row>
        <row r="30">
          <cell r="G30" t="str">
            <v>Miccelaneous (Single mention's)</v>
          </cell>
          <cell r="H30">
            <v>10</v>
          </cell>
        </row>
        <row r="49">
          <cell r="D49" t="str">
            <v xml:space="preserve">Engineering Design </v>
          </cell>
          <cell r="E49"/>
          <cell r="F49" t="str">
            <v>Service Design</v>
          </cell>
          <cell r="G49"/>
          <cell r="H49" t="str">
            <v>UI/UX</v>
          </cell>
          <cell r="I49"/>
        </row>
        <row r="50">
          <cell r="D50" t="str">
            <v>GenAI</v>
          </cell>
          <cell r="E50" t="str">
            <v>ML</v>
          </cell>
          <cell r="F50" t="str">
            <v>GenAI</v>
          </cell>
          <cell r="G50" t="str">
            <v>ML</v>
          </cell>
          <cell r="H50" t="str">
            <v>GenAI</v>
          </cell>
          <cell r="I50" t="str">
            <v>ML</v>
          </cell>
        </row>
        <row r="51">
          <cell r="C51" t="str">
            <v>Discover</v>
          </cell>
          <cell r="D51">
            <v>30</v>
          </cell>
          <cell r="E51">
            <v>2</v>
          </cell>
          <cell r="F51">
            <v>49</v>
          </cell>
          <cell r="G51">
            <v>1</v>
          </cell>
          <cell r="H51">
            <v>23</v>
          </cell>
          <cell r="I51">
            <v>0</v>
          </cell>
        </row>
        <row r="52">
          <cell r="C52" t="str">
            <v>Define</v>
          </cell>
          <cell r="D52">
            <v>28</v>
          </cell>
          <cell r="E52">
            <v>2</v>
          </cell>
          <cell r="F52">
            <v>34</v>
          </cell>
          <cell r="G52">
            <v>1</v>
          </cell>
          <cell r="H52">
            <v>26</v>
          </cell>
          <cell r="I52">
            <v>0</v>
          </cell>
        </row>
        <row r="53">
          <cell r="C53" t="str">
            <v>Develop</v>
          </cell>
          <cell r="D53">
            <v>32</v>
          </cell>
          <cell r="E53">
            <v>0</v>
          </cell>
          <cell r="F53">
            <v>50</v>
          </cell>
          <cell r="G53">
            <v>0</v>
          </cell>
          <cell r="H53">
            <v>52</v>
          </cell>
          <cell r="I53">
            <v>2</v>
          </cell>
        </row>
        <row r="54">
          <cell r="C54" t="str">
            <v>Deliver</v>
          </cell>
          <cell r="D54">
            <v>5</v>
          </cell>
          <cell r="E54">
            <v>2</v>
          </cell>
          <cell r="F54">
            <v>30</v>
          </cell>
          <cell r="G54">
            <v>1</v>
          </cell>
          <cell r="H54">
            <v>19</v>
          </cell>
          <cell r="I54">
            <v>0</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ANONYMOUS" id="{45A8BF99-DB86-0844-9F95-4F3E574B3227}" userId="ANONYMOUS" providerId="None"/>
  <person displayName="Boyeun Lee" id="{65433362-75A8-1A48-A9B4-AF785DAC781D}" userId="Boyeun Lee" providerId="None"/>
  <person displayName="Solano, Dante" id="{BA7FAB29-16FD-3846-9F5C-759A40FB7C5C}" userId="S::ds54848@eid.utexas.edu::de9fb0f1-bb2b-46fd-8f0c-8094557f595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7" dT="2026-04-10T10:31:43.83" personId="{65433362-75A8-1A48-A9B4-AF785DAC781D}" id="{4292A2B9-D866-C44C-BB80-12F9F73E8017}">
    <text>Implementation</text>
  </threadedComment>
  <threadedComment ref="D14" dT="2026-02-11T14:08:59.22" personId="{45A8BF99-DB86-0844-9F95-4F3E574B3227}" id="{9A4E7BAB-1251-1D42-972F-20640C1D99E3}">
    <text>Originally Design generation</text>
  </threadedComment>
  <threadedComment ref="D15" dT="2026-02-11T14:13:03.77" personId="{45A8BF99-DB86-0844-9F95-4F3E574B3227}" id="{350617E8-CB7E-854B-A3FA-99FB5F0308E9}">
    <text>Originally Decision making</text>
  </threadedComment>
  <threadedComment ref="D31" dT="2026-02-11T12:05:49.75" personId="{45A8BF99-DB86-0844-9F95-4F3E574B3227}" id="{CC4A3105-23AA-AE40-8D30-88A6D0962C7B}">
    <text>Used to be Others</text>
  </threadedComment>
  <threadedComment ref="D54" dT="2026-02-11T14:08:21.87" personId="{45A8BF99-DB86-0844-9F95-4F3E574B3227}" id="{E5478F2A-0D3B-DA47-9D0A-326EE48FF199}">
    <text>Originally Design generation</text>
  </threadedComment>
  <threadedComment ref="D73" dT="2026-02-11T14:09:35.49" personId="{45A8BF99-DB86-0844-9F95-4F3E574B3227}" id="{1501B1DA-D7DE-F340-B5C1-968CA396B5C3}">
    <text>Originally Design genereation</text>
  </threadedComment>
  <threadedComment ref="D101" dT="2026-02-11T12:06:13.83" personId="{45A8BF99-DB86-0844-9F95-4F3E574B3227}" id="{C775E225-F1F9-2044-B789-C31A095275C7}">
    <text>Used to be  Others</text>
  </threadedComment>
  <threadedComment ref="F164" dT="2026-04-07T15:35:13.10" personId="{65433362-75A8-1A48-A9B4-AF785DAC781D}" id="{C98A3CD4-583F-8540-9BB9-832A5B1195C6}">
    <text>Customised</text>
  </threadedComment>
  <threadedComment ref="F177" dT="2026-04-07T15:34:53.54" personId="{65433362-75A8-1A48-A9B4-AF785DAC781D}" id="{1FFD9E0C-0103-E646-9AF9-233E057DB18F}">
    <text xml:space="preserve">Customised
</text>
  </threadedComment>
  <threadedComment ref="D223" dT="2026-03-02T12:01:19.46" personId="{BA7FAB29-16FD-3846-9F5C-759A40FB7C5C}" id="{5B508995-FD0B-5146-9400-61794093F718}">
    <text>Others -&gt; Co-ordination</text>
  </threadedComment>
  <threadedComment ref="J223" dT="2026-03-10T10:15:44.93" personId="{45A8BF99-DB86-0844-9F95-4F3E574B3227}" id="{2BD763B9-E84E-9A46-BFEE-9B77D7194960}">
    <text>Used when developing goal. Using AI endorsed by the company give security and variety when creating goals. Also give better worded statements.</text>
  </threadedComment>
  <threadedComment ref="J226" dT="2026-03-10T10:15:53.97" personId="{45A8BF99-DB86-0844-9F95-4F3E574B3227}" id="{3CE21AE5-B5AF-5F46-A54A-2B48057DCEB6}">
    <text>Something that is done manually previously can be saved time </text>
  </threadedComment>
  <threadedComment ref="L226" dT="2026-03-10T10:19:14.50" personId="{45A8BF99-DB86-0844-9F95-4F3E574B3227}" id="{57E68D90-5BAC-C542-A326-B0D6271448C5}">
    <text>miscategorization of matierals that are rare</text>
  </threadedComment>
  <threadedComment ref="J227" dT="2026-03-10T10:15:35.32" personId="{45A8BF99-DB86-0844-9F95-4F3E574B3227}" id="{78CCFDE0-5AC2-6E4A-B38B-8B8B5F6F45F4}">
    <text>AI create more time for team to communicate and work together</text>
  </threadedComment>
  <threadedComment ref="K227" dT="2026-03-10T10:17:39.71" personId="{45A8BF99-DB86-0844-9F95-4F3E574B3227}" id="{B598339A-5F41-C14E-A156-B31E29F65702}">
    <text>Focus on the communciation rather than recording</text>
  </threadedComment>
  <threadedComment ref="L227" dT="2026-03-10T10:19:02.99" personId="{45A8BF99-DB86-0844-9F95-4F3E574B3227}" id="{815126D0-7E6A-1649-9898-4FFC8D1CD08C}">
    <text>Checking on accuracy of AI for every use due to limited trust</text>
  </threadedComment>
  <threadedComment ref="M227" dT="2026-03-10T10:21:41.48" personId="{45A8BF99-DB86-0844-9F95-4F3E574B3227}" id="{8C8705D4-83D2-7B4F-A635-D8580169063A}">
    <text>Not capturing everything that is discussed such as body language, the scores are not always right because of lack of nuanced understanding (esp read.ai/otter)</text>
  </threadedComment>
  <threadedComment ref="D228" dT="2026-02-21T18:56:06.10" personId="{BA7FAB29-16FD-3846-9F5C-759A40FB7C5C}" id="{E3CA5766-2A96-A947-8A56-F64BA419F1D5}">
    <text>this card was placed in the middle of the develop and deliver categories but I decided to slide it over to the deliver section based off the content on the card.</text>
  </threadedComment>
  <threadedComment ref="F228" dT="2026-03-02T11:07:25.72" personId="{BA7FAB29-16FD-3846-9F5C-759A40FB7C5C}" id="{ECB10843-5463-4143-8B5D-760C20C3F37C}">
    <text>Agentic AI workflows -&gt; Customized AI Tool</text>
  </threadedComment>
  <threadedComment ref="J228" dT="2026-03-10T09:54:35.22" personId="{45A8BF99-DB86-0844-9F95-4F3E574B3227}" id="{0AE9CD13-8F0F-6B46-9444-AED029E2D9DB}">
    <text>Many solutions can be explored simultaenousely</text>
  </threadedComment>
  <threadedComment ref="K228" dT="2026-03-10T10:17:13.58" personId="{45A8BF99-DB86-0844-9F95-4F3E574B3227}" id="{294463F5-F8CD-3843-949C-C07C90042C49}">
    <text>The user has to do very little work, just orchestrate</text>
  </threadedComment>
  <threadedComment ref="L228" dT="2026-03-10T10:18:43.71" personId="{45A8BF99-DB86-0844-9F95-4F3E574B3227}" id="{50D1663C-1603-B543-B165-0D1ED6DB5BF8}">
    <text>Users creativity is largely not involved</text>
  </threadedComment>
  <threadedComment ref="M228" dT="2026-03-10T10:21:18.84" personId="{45A8BF99-DB86-0844-9F95-4F3E574B3227}" id="{BC548E00-6E59-234C-AE33-C0746548E7B2}">
    <text>USer has little control over the outcomes of the coordination</text>
  </threadedComment>
  <threadedComment ref="J229" dT="2026-03-10T09:54:25.33" personId="{45A8BF99-DB86-0844-9F95-4F3E574B3227}" id="{FF9CEBE5-D4D3-B14A-BA25-25785884C3DA}">
    <text>Can do complex calculations and find the optimal design </text>
  </threadedComment>
  <threadedComment ref="M229" dT="2026-03-10T10:20:23.21" personId="{45A8BF99-DB86-0844-9F95-4F3E574B3227}" id="{3ED2EFC7-0855-644C-BDC7-C4A3563CD0D8}">
    <text>Engineers might totally delegate the creative part to the AI and trying to make innovative designs. </text>
  </threadedComment>
  <threadedComment ref="J230" dT="2026-03-10T10:16:31.56" personId="{45A8BF99-DB86-0844-9F95-4F3E574B3227}" id="{12778E33-1059-1146-8F88-D6E53B404B68}">
    <text>Changes how simulations are created allowing to run more integrated into the design process</text>
  </threadedComment>
  <threadedComment ref="K230" dT="2026-03-10T10:18:00.37" personId="{45A8BF99-DB86-0844-9F95-4F3E574B3227}" id="{F04ACF84-81D0-554A-8E30-6BAF32493FA0}">
    <text>Opens up who could develop simulations outside typical experts towards other disciplines without having to train on the tools and processes.</text>
  </threadedComment>
  <threadedComment ref="L230" dT="2026-03-10T10:19:51.86" personId="{45A8BF99-DB86-0844-9F95-4F3E574B3227}" id="{628318AE-1D14-F54A-8020-B03EC4D745E6}">
    <text>Need to calibrate, test, and evaluate AI generated models to human generated</text>
  </threadedComment>
  <threadedComment ref="M230" dT="2026-03-10T10:20:50.78" personId="{45A8BF99-DB86-0844-9F95-4F3E574B3227}" id="{968E97FF-FEAE-594B-93EC-918AE3ED3462}">
    <text>Data set for models would need to be created, trained, and tested rather than use existing data. Need to determine how to optimize the data to train on so not too little or too much.</text>
  </threadedComment>
  <threadedComment ref="D232" dT="2026-03-10T10:33:07.45" personId="{45A8BF99-DB86-0844-9F95-4F3E574B3227}" id="{94AF07B0-95E4-8345-B898-1DDDC7FEA749}">
    <text>Originally design generation</text>
  </threadedComment>
  <threadedComment ref="K234" dT="2026-03-10T10:18:09.42" personId="{45A8BF99-DB86-0844-9F95-4F3E574B3227}" id="{FB5B2370-A36D-6D47-91DA-AA321FA83804}">
    <text>Inventory control efficiency increased due to less miss-matched orders</text>
  </threadedComment>
  <threadedComment ref="J235" dT="2026-03-10T10:16:03.42" personId="{45A8BF99-DB86-0844-9F95-4F3E574B3227}" id="{D057E3A1-C2B3-7A4D-AD40-4CBB6FC6BC45}">
    <text>The code output are accurate and can be applied for broad use</text>
  </threadedComment>
  <threadedComment ref="K235" dT="2026-03-10T10:17:50.14" personId="{45A8BF99-DB86-0844-9F95-4F3E574B3227}" id="{6E3FFD7A-3F11-B140-80F1-0E62897BF59A}">
    <text>Previously things wouldn't have been possible without learning for long period of time</text>
  </threadedComment>
  <threadedComment ref="L235" dT="2026-03-10T10:19:22.51" personId="{45A8BF99-DB86-0844-9F95-4F3E574B3227}" id="{D833469C-357D-F84D-918F-941F0AEB5CD7}">
    <text>not learning how to generate code but review code instead</text>
  </threadedComment>
  <threadedComment ref="L236" dT="2026-03-10T10:19:41.31" personId="{45A8BF99-DB86-0844-9F95-4F3E574B3227}" id="{1CE9573C-9C9F-6F47-845D-B0356447169F}">
    <text>failes to accurately understand the problem</text>
  </threadedComment>
  <threadedComment ref="J237" dT="2026-03-10T10:37:11.98" personId="{45A8BF99-DB86-0844-9F95-4F3E574B3227}" id="{EEB170F0-8740-7D42-9AE7-F67AC15343FD}">
    <text>It is very fast to go from concept to model</text>
  </threadedComment>
  <threadedComment ref="K237" dT="2026-03-10T10:37:24.11" personId="{45A8BF99-DB86-0844-9F95-4F3E574B3227}" id="{1047F2C4-F615-7046-980F-36142B14A8CD}">
    <text>No experience needed to create models</text>
  </threadedComment>
  <threadedComment ref="L237" dT="2026-03-10T10:38:14.09" personId="{45A8BF99-DB86-0844-9F95-4F3E574B3227}" id="{D0775E1C-6D17-3545-B649-26FCEBAEB39B}">
    <text>Not all features are included in the co-pilots</text>
  </threadedComment>
  <threadedComment ref="M237" dT="2026-03-10T10:38:38.64" personId="{45A8BF99-DB86-0844-9F95-4F3E574B3227}" id="{DAD058D3-CEE5-AC40-B3E4-40FA3D70BB2D}">
    <text>It takes a lot of compute power to make this work effectively</text>
  </threadedComment>
  <threadedComment ref="J238" dT="2026-03-10T10:37:03.02" personId="{45A8BF99-DB86-0844-9F95-4F3E574B3227}" id="{A1ED068B-A5D6-324C-A449-C54EAA220AFD}">
    <text>allows for design variations without the need for time/effort from a team of designers</text>
  </threadedComment>
  <threadedComment ref="J239" dT="2026-03-10T10:15:26.35" personId="{45A8BF99-DB86-0844-9F95-4F3E574B3227}" id="{326B6A9A-BA22-7F4A-B974-C02135559797}">
    <text>When writing long paper such as law and regulations, it saves time and money to rewrite and make changes</text>
  </threadedComment>
  <threadedComment ref="K239" dT="2026-03-10T10:17:31.66" personId="{45A8BF99-DB86-0844-9F95-4F3E574B3227}" id="{44337D51-930F-E54B-8BF1-2AE51AE2A7A9}">
    <text>AI can be used to solve problems for broad spectrum with time saving, old codes that keep on getting built up and complex but AI helps hash through and rewrite</text>
  </threadedComment>
  <threadedComment ref="K240" dT="2026-03-10T10:16:46.38" personId="{45A8BF99-DB86-0844-9F95-4F3E574B3227}" id="{4BFEC8C0-8099-2145-AE66-4689EA4A34D6}">
    <text>Enables me to quickly sort through ideas and get initial take on feasibility</text>
  </threadedComment>
  <threadedComment ref="J242" dT="2026-03-10T09:53:39.36" personId="{45A8BF99-DB86-0844-9F95-4F3E574B3227}" id="{898663CF-8B8F-B242-AC4E-C9A1AF95DF0B}">
    <text>Great method for knowledge transfer</text>
  </threadedComment>
  <threadedComment ref="K242" dT="2026-03-10T10:16:54.90" personId="{45A8BF99-DB86-0844-9F95-4F3E574B3227}" id="{8DBBDC3A-59D7-1742-8F27-2B082FB815CE}">
    <text>Enables user to bring in domain specific information</text>
  </threadedComment>
  <threadedComment ref="L242" dT="2026-03-10T10:18:25.42" personId="{45A8BF99-DB86-0844-9F95-4F3E574B3227}" id="{32F881BD-F53F-3B4C-8A82-48958E3ADEFE}">
    <text>Difficult to scale across organizational data</text>
  </threadedComment>
  <threadedComment ref="M242" dT="2026-03-10T10:20:08.39" personId="{45A8BF99-DB86-0844-9F95-4F3E574B3227}" id="{51076A94-8058-8945-B810-F257262F569B}">
    <text>Developing the knowledge base can take considerable effort and cost</text>
  </threadedComment>
  <threadedComment ref="J244" dT="2026-03-10T10:15:16.98" personId="{45A8BF99-DB86-0844-9F95-4F3E574B3227}" id="{33B5E744-9233-E345-B31A-5E71D49CA9B3}">
    <text>New Ideas that weren't think about</text>
  </threadedComment>
  <threadedComment ref="K244" dT="2026-03-10T10:17:22.43" personId="{45A8BF99-DB86-0844-9F95-4F3E574B3227}" id="{367FAE5E-0064-7549-A4FF-16F8246FB78B}">
    <text>Saving cost and time</text>
  </threadedComment>
  <threadedComment ref="L244" dT="2026-03-10T10:18:54.57" personId="{45A8BF99-DB86-0844-9F95-4F3E574B3227}" id="{83A9EF9C-0948-5F4D-A17A-0CBBBBB1688C}">
    <text>AI might not have all the information needed or wrong infromation with make-up</text>
  </threadedComment>
  <threadedComment ref="J245" dT="2026-03-10T09:54:13.02" personId="{45A8BF99-DB86-0844-9F95-4F3E574B3227}" id="{D063DED1-9516-674F-B7CA-57F90D8AB339}">
    <text>Can extract data from multiple resources in a short time</text>
  </threadedComment>
  <threadedComment ref="K245" dT="2026-03-10T10:17:05.06" personId="{45A8BF99-DB86-0844-9F95-4F3E574B3227}" id="{2D6F3D4A-4AA5-0D47-B26A-A9BA7630AE9C}">
    <text>Can put together the collected data in an efficient way. </text>
  </threadedComment>
  <threadedComment ref="J246" dT="2026-03-10T10:16:21.42" personId="{45A8BF99-DB86-0844-9F95-4F3E574B3227}" id="{8942A21B-CF20-0D44-A61A-73583DD04566}">
    <text>Time saving through quick pharaphrasing.</text>
  </threadedComment>
  <threadedComment ref="L246" dT="2026-03-10T10:19:32.31" personId="{45A8BF99-DB86-0844-9F95-4F3E574B3227}" id="{26EA7A32-4871-224B-9CA8-0EAD100B61CB}">
    <text>Good at phrasing, but AI didn't provide sufficient solution</text>
  </threadedComment>
  <threadedComment ref="L253" dT="2026-03-10T10:37:54.46" personId="{45A8BF99-DB86-0844-9F95-4F3E574B3227}" id="{0F7D37E4-18A0-9041-927C-7180E9697E1B}">
    <text>it might be more efficient to create my own timeline &amp; tasks since i'll have a better grasp on how long each task will take</text>
  </threadedComment>
  <threadedComment ref="D255" dT="2026-03-10T10:26:58.84" personId="{45A8BF99-DB86-0844-9F95-4F3E574B3227}" id="{96587FEF-2F5A-9045-A7EF-D52A6821D53A}">
    <text>Originally knowledge augmentation</text>
  </threadedComment>
  <threadedComment ref="J255" dT="2026-03-10T10:16:12.48" personId="{45A8BF99-DB86-0844-9F95-4F3E574B3227}" id="{F63BE704-1CC9-3248-9821-EE4691F1DC98}">
    <text>Trust is relatively high because requirements reviews are </text>
  </threadedComment>
  <threadedComment ref="J256" dT="2026-03-10T09:53:54.95" personId="{45A8BF99-DB86-0844-9F95-4F3E574B3227}" id="{A64AC968-9769-0B44-9794-0BB5AF027BAF}">
    <text>Can consider different needs in different people in their unique circumstances.</text>
  </threadedComment>
  <threadedComment ref="L256" dT="2026-03-10T10:18:34.66" personId="{45A8BF99-DB86-0844-9F95-4F3E574B3227}" id="{1BBA380B-7202-F248-87C9-060EDD7AAB02}">
    <text>Its lack of lived experience makes its suggestions less reliable.</text>
  </threadedComment>
  <threadedComment ref="J257" dT="2026-03-10T09:54:03.79" personId="{45A8BF99-DB86-0844-9F95-4F3E574B3227}" id="{B6389CA2-B734-AB48-B3BB-C595DFE971F3}">
    <text>Even the free versions are adequate and anyone can access it.</text>
  </threadedComment>
  <threadedComment ref="D259" dT="2026-03-10T10:26:58.84" personId="{45A8BF99-DB86-0844-9F95-4F3E574B3227}" id="{CCB5A86A-8EC9-0B4B-BCD0-DB6EEFFD4466}">
    <text>Originally knowledge augmentation</text>
  </threadedComment>
  <threadedComment ref="L260" dT="2026-03-10T10:38:23.15" personId="{45A8BF99-DB86-0844-9F95-4F3E574B3227}" id="{B80CF254-201F-694C-B0E0-59C02D110CEA}">
    <text>may not be accurate in terms of feasibility based on the design system used and expertise of devloper(s)</text>
  </threadedComment>
  <threadedComment ref="L262" dT="2026-03-10T10:38:03.81" personId="{45A8BF99-DB86-0844-9F95-4F3E574B3227}" id="{12023BEC-9086-284C-9399-7BAC34F59FF4}">
    <text>may not truly reflect how users will interact with prototypes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AAE6B-4973-2A4C-81F9-24C71CEA089C}">
  <dimension ref="A1:O265"/>
  <sheetViews>
    <sheetView tabSelected="1" topLeftCell="C1" zoomScaleNormal="110" workbookViewId="0">
      <selection activeCell="G6" sqref="G6"/>
    </sheetView>
  </sheetViews>
  <sheetFormatPr baseColWidth="10" defaultRowHeight="16" x14ac:dyDescent="0.25"/>
  <cols>
    <col min="1" max="1" width="16.1640625" style="94" customWidth="1"/>
    <col min="2" max="3" width="18.83203125" style="94" customWidth="1"/>
    <col min="4" max="4" width="19" style="94" customWidth="1"/>
    <col min="5" max="5" width="28.6640625" style="94" customWidth="1"/>
    <col min="6" max="9" width="7.33203125" style="94" customWidth="1"/>
    <col min="10" max="13" width="10.83203125" style="94"/>
    <col min="14" max="14" width="54.6640625" style="94" customWidth="1"/>
  </cols>
  <sheetData>
    <row r="1" spans="1:14" ht="35" customHeight="1" x14ac:dyDescent="0.2">
      <c r="A1" s="38" t="s">
        <v>544</v>
      </c>
      <c r="B1" s="38" t="s">
        <v>545</v>
      </c>
      <c r="C1" s="38" t="s">
        <v>546</v>
      </c>
      <c r="D1" s="38" t="s">
        <v>547</v>
      </c>
      <c r="E1" s="38" t="s">
        <v>548</v>
      </c>
      <c r="F1" s="38" t="s">
        <v>551</v>
      </c>
      <c r="G1" s="38" t="s">
        <v>552</v>
      </c>
      <c r="H1" s="38" t="s">
        <v>553</v>
      </c>
      <c r="I1" s="38" t="s">
        <v>554</v>
      </c>
      <c r="J1" s="38" t="s">
        <v>555</v>
      </c>
      <c r="K1" s="38" t="s">
        <v>556</v>
      </c>
      <c r="L1" s="38" t="s">
        <v>557</v>
      </c>
      <c r="M1" s="38" t="s">
        <v>558</v>
      </c>
      <c r="N1" s="38" t="s">
        <v>559</v>
      </c>
    </row>
    <row r="2" spans="1:14" ht="34" customHeight="1" x14ac:dyDescent="0.25">
      <c r="A2" s="39" t="s">
        <v>560</v>
      </c>
      <c r="B2" s="39" t="s">
        <v>561</v>
      </c>
      <c r="C2" s="66" t="s">
        <v>591</v>
      </c>
      <c r="D2" s="67" t="s">
        <v>638</v>
      </c>
      <c r="E2" s="67" t="s">
        <v>264</v>
      </c>
      <c r="F2" s="67" t="s">
        <v>585</v>
      </c>
      <c r="G2" s="67"/>
      <c r="H2" s="67"/>
      <c r="I2" s="67"/>
      <c r="J2" s="67"/>
      <c r="K2" s="67"/>
      <c r="L2" s="67" t="s">
        <v>648</v>
      </c>
      <c r="M2" s="67" t="s">
        <v>605</v>
      </c>
      <c r="N2" s="67" t="s">
        <v>650</v>
      </c>
    </row>
    <row r="3" spans="1:14" ht="34" customHeight="1" x14ac:dyDescent="0.2">
      <c r="A3" s="39" t="s">
        <v>560</v>
      </c>
      <c r="B3" s="39" t="s">
        <v>701</v>
      </c>
      <c r="C3" s="68" t="s">
        <v>591</v>
      </c>
      <c r="D3" s="67" t="s">
        <v>638</v>
      </c>
      <c r="E3" s="67" t="s">
        <v>319</v>
      </c>
      <c r="F3" s="67" t="s">
        <v>564</v>
      </c>
      <c r="G3" s="67"/>
      <c r="H3" s="67"/>
      <c r="I3" s="67"/>
      <c r="J3" s="67" t="s">
        <v>565</v>
      </c>
      <c r="K3" s="67"/>
      <c r="L3" s="67" t="s">
        <v>604</v>
      </c>
      <c r="M3" s="67"/>
      <c r="N3" s="67"/>
    </row>
    <row r="4" spans="1:14" ht="51" customHeight="1" x14ac:dyDescent="0.2">
      <c r="A4" s="39" t="s">
        <v>560</v>
      </c>
      <c r="B4" s="39" t="s">
        <v>701</v>
      </c>
      <c r="C4" s="71" t="s">
        <v>581</v>
      </c>
      <c r="D4" s="72" t="s">
        <v>660</v>
      </c>
      <c r="E4" s="72" t="s">
        <v>337</v>
      </c>
      <c r="F4" s="72" t="s">
        <v>706</v>
      </c>
      <c r="G4" s="72"/>
      <c r="H4" s="72"/>
      <c r="I4" s="72"/>
      <c r="J4" s="72"/>
      <c r="K4" s="72"/>
      <c r="L4" s="72" t="s">
        <v>578</v>
      </c>
      <c r="M4" s="72" t="s">
        <v>592</v>
      </c>
      <c r="N4" s="72"/>
    </row>
    <row r="5" spans="1:14" ht="17" x14ac:dyDescent="0.2">
      <c r="A5" s="39" t="s">
        <v>560</v>
      </c>
      <c r="B5" s="39" t="s">
        <v>714</v>
      </c>
      <c r="C5" s="71" t="s">
        <v>580</v>
      </c>
      <c r="D5" s="72" t="s">
        <v>660</v>
      </c>
      <c r="E5" s="72" t="s">
        <v>354</v>
      </c>
      <c r="F5" s="72" t="s">
        <v>595</v>
      </c>
      <c r="G5" s="72"/>
      <c r="H5" s="72"/>
      <c r="I5" s="72"/>
      <c r="J5" s="72" t="s">
        <v>588</v>
      </c>
      <c r="K5" s="72"/>
      <c r="L5" s="72" t="s">
        <v>588</v>
      </c>
      <c r="M5" s="72"/>
      <c r="N5" s="72"/>
    </row>
    <row r="6" spans="1:14" ht="68" x14ac:dyDescent="0.2">
      <c r="A6" s="39" t="s">
        <v>560</v>
      </c>
      <c r="B6" s="39" t="s">
        <v>714</v>
      </c>
      <c r="C6" s="71" t="s">
        <v>580</v>
      </c>
      <c r="D6" s="72" t="s">
        <v>660</v>
      </c>
      <c r="E6" s="72" t="s">
        <v>350</v>
      </c>
      <c r="F6" s="72" t="s">
        <v>595</v>
      </c>
      <c r="G6" s="72"/>
      <c r="H6" s="72"/>
      <c r="I6" s="72"/>
      <c r="J6" s="72"/>
      <c r="K6" s="72"/>
      <c r="L6" s="72" t="s">
        <v>588</v>
      </c>
      <c r="M6" s="72" t="s">
        <v>605</v>
      </c>
      <c r="N6" s="72" t="s">
        <v>723</v>
      </c>
    </row>
    <row r="7" spans="1:14" ht="34" customHeight="1" x14ac:dyDescent="0.2">
      <c r="A7" s="39" t="s">
        <v>560</v>
      </c>
      <c r="B7" s="39" t="s">
        <v>714</v>
      </c>
      <c r="C7" s="71" t="s">
        <v>581</v>
      </c>
      <c r="D7" s="72" t="s">
        <v>660</v>
      </c>
      <c r="E7" s="72" t="s">
        <v>352</v>
      </c>
      <c r="F7" s="72" t="s">
        <v>564</v>
      </c>
      <c r="G7" s="72" t="s">
        <v>595</v>
      </c>
      <c r="H7" s="72"/>
      <c r="I7" s="72"/>
      <c r="J7" s="72"/>
      <c r="K7" s="72"/>
      <c r="L7" s="72" t="s">
        <v>586</v>
      </c>
      <c r="M7" s="72"/>
      <c r="N7" s="72" t="s">
        <v>724</v>
      </c>
    </row>
    <row r="8" spans="1:14" ht="34" x14ac:dyDescent="0.2">
      <c r="A8" s="39" t="s">
        <v>560</v>
      </c>
      <c r="B8" s="39" t="s">
        <v>714</v>
      </c>
      <c r="C8" s="68" t="s">
        <v>562</v>
      </c>
      <c r="D8" s="67" t="s">
        <v>638</v>
      </c>
      <c r="E8" s="67" t="s">
        <v>278</v>
      </c>
      <c r="F8" s="67" t="s">
        <v>630</v>
      </c>
      <c r="G8" s="67"/>
      <c r="H8" s="67"/>
      <c r="I8" s="67"/>
      <c r="J8" s="67" t="s">
        <v>578</v>
      </c>
      <c r="K8" s="67"/>
      <c r="L8" s="67" t="s">
        <v>567</v>
      </c>
      <c r="M8" s="67"/>
      <c r="N8" s="67" t="s">
        <v>718</v>
      </c>
    </row>
    <row r="9" spans="1:14" ht="51" customHeight="1" x14ac:dyDescent="0.2">
      <c r="A9" s="39" t="s">
        <v>560</v>
      </c>
      <c r="B9" s="39" t="s">
        <v>714</v>
      </c>
      <c r="C9" s="68" t="s">
        <v>562</v>
      </c>
      <c r="D9" s="67" t="s">
        <v>638</v>
      </c>
      <c r="E9" s="67" t="s">
        <v>286</v>
      </c>
      <c r="F9" s="67" t="s">
        <v>564</v>
      </c>
      <c r="G9" s="67"/>
      <c r="H9" s="67"/>
      <c r="I9" s="67"/>
      <c r="J9" s="67" t="s">
        <v>565</v>
      </c>
      <c r="K9" s="67"/>
      <c r="L9" s="67"/>
      <c r="M9" s="67"/>
      <c r="N9" s="67"/>
    </row>
    <row r="10" spans="1:14" ht="34" x14ac:dyDescent="0.2">
      <c r="A10" s="39" t="s">
        <v>560</v>
      </c>
      <c r="B10" s="39" t="s">
        <v>714</v>
      </c>
      <c r="C10" s="68" t="s">
        <v>591</v>
      </c>
      <c r="D10" s="67" t="s">
        <v>638</v>
      </c>
      <c r="E10" s="67" t="s">
        <v>268</v>
      </c>
      <c r="F10" s="67" t="s">
        <v>564</v>
      </c>
      <c r="G10" s="67" t="s">
        <v>595</v>
      </c>
      <c r="H10" s="67" t="s">
        <v>623</v>
      </c>
      <c r="I10" s="67"/>
      <c r="J10" s="67" t="s">
        <v>565</v>
      </c>
      <c r="K10" s="67"/>
      <c r="L10" s="67"/>
      <c r="M10" s="67"/>
      <c r="N10" s="67"/>
    </row>
    <row r="11" spans="1:14" ht="51" customHeight="1" x14ac:dyDescent="0.25">
      <c r="A11" s="39" t="s">
        <v>560</v>
      </c>
      <c r="B11" s="39" t="s">
        <v>725</v>
      </c>
      <c r="C11" s="77" t="s">
        <v>580</v>
      </c>
      <c r="D11" s="72" t="s">
        <v>660</v>
      </c>
      <c r="E11" s="72" t="s">
        <v>356</v>
      </c>
      <c r="F11" s="72" t="s">
        <v>564</v>
      </c>
      <c r="G11" s="72"/>
      <c r="H11" s="72"/>
      <c r="I11" s="72"/>
      <c r="J11" s="72" t="s">
        <v>737</v>
      </c>
      <c r="K11" s="72"/>
      <c r="L11" s="72" t="s">
        <v>578</v>
      </c>
      <c r="M11" s="72"/>
      <c r="N11" s="72"/>
    </row>
    <row r="12" spans="1:14" ht="34" customHeight="1" x14ac:dyDescent="0.25">
      <c r="A12" s="39" t="s">
        <v>560</v>
      </c>
      <c r="B12" s="39" t="s">
        <v>725</v>
      </c>
      <c r="C12" s="50" t="s">
        <v>591</v>
      </c>
      <c r="D12" s="49" t="s">
        <v>594</v>
      </c>
      <c r="E12" s="49" t="s">
        <v>288</v>
      </c>
      <c r="F12" s="49" t="s">
        <v>564</v>
      </c>
      <c r="G12" s="74" t="s">
        <v>727</v>
      </c>
      <c r="H12" s="49"/>
      <c r="I12" s="49"/>
      <c r="J12" s="49" t="s">
        <v>728</v>
      </c>
      <c r="K12" s="49"/>
      <c r="L12" s="49" t="s">
        <v>567</v>
      </c>
      <c r="M12" s="49"/>
      <c r="N12" s="49"/>
    </row>
    <row r="13" spans="1:14" ht="34" customHeight="1" x14ac:dyDescent="0.25">
      <c r="A13" s="39" t="s">
        <v>560</v>
      </c>
      <c r="B13" s="39" t="s">
        <v>725</v>
      </c>
      <c r="C13" s="66" t="s">
        <v>562</v>
      </c>
      <c r="D13" s="67" t="s">
        <v>638</v>
      </c>
      <c r="E13" s="67" t="s">
        <v>280</v>
      </c>
      <c r="F13" s="67" t="s">
        <v>727</v>
      </c>
      <c r="G13" s="67"/>
      <c r="H13" s="67"/>
      <c r="I13" s="67"/>
      <c r="J13" s="67" t="s">
        <v>586</v>
      </c>
      <c r="K13" s="67"/>
      <c r="L13" s="67"/>
      <c r="M13" s="67"/>
      <c r="N13" s="67" t="s">
        <v>733</v>
      </c>
    </row>
    <row r="14" spans="1:14" ht="34" customHeight="1" x14ac:dyDescent="0.2">
      <c r="A14" s="39" t="s">
        <v>560</v>
      </c>
      <c r="B14" s="39" t="s">
        <v>725</v>
      </c>
      <c r="C14" s="75" t="s">
        <v>580</v>
      </c>
      <c r="D14" s="69" t="s">
        <v>638</v>
      </c>
      <c r="E14" s="67" t="s">
        <v>296</v>
      </c>
      <c r="F14" s="67" t="s">
        <v>564</v>
      </c>
      <c r="G14" s="67"/>
      <c r="H14" s="67"/>
      <c r="I14" s="67"/>
      <c r="J14" s="67" t="s">
        <v>571</v>
      </c>
      <c r="K14" s="67"/>
      <c r="L14" s="67"/>
      <c r="M14" s="67"/>
      <c r="N14" s="67"/>
    </row>
    <row r="15" spans="1:14" ht="68" customHeight="1" x14ac:dyDescent="0.2">
      <c r="A15" s="39" t="s">
        <v>560</v>
      </c>
      <c r="B15" s="39" t="s">
        <v>725</v>
      </c>
      <c r="C15" s="75" t="s">
        <v>581</v>
      </c>
      <c r="D15" s="69" t="s">
        <v>638</v>
      </c>
      <c r="E15" s="67" t="s">
        <v>298</v>
      </c>
      <c r="F15" s="67" t="s">
        <v>564</v>
      </c>
      <c r="G15" s="67" t="s">
        <v>569</v>
      </c>
      <c r="H15" s="67"/>
      <c r="I15" s="67"/>
      <c r="J15" s="67" t="s">
        <v>565</v>
      </c>
      <c r="K15" s="67"/>
      <c r="L15" s="67" t="s">
        <v>721</v>
      </c>
      <c r="M15" s="67"/>
      <c r="N15" s="67" t="s">
        <v>734</v>
      </c>
    </row>
    <row r="16" spans="1:14" ht="34" customHeight="1" x14ac:dyDescent="0.25">
      <c r="A16" s="39" t="s">
        <v>560</v>
      </c>
      <c r="B16" s="39" t="s">
        <v>725</v>
      </c>
      <c r="C16" s="66" t="s">
        <v>591</v>
      </c>
      <c r="D16" s="67" t="s">
        <v>638</v>
      </c>
      <c r="E16" s="67" t="s">
        <v>292</v>
      </c>
      <c r="F16" s="67" t="s">
        <v>564</v>
      </c>
      <c r="G16" s="67" t="s">
        <v>595</v>
      </c>
      <c r="H16" s="67"/>
      <c r="I16" s="67"/>
      <c r="J16" s="67" t="s">
        <v>565</v>
      </c>
      <c r="K16" s="67"/>
      <c r="L16" s="76" t="s">
        <v>735</v>
      </c>
      <c r="M16" s="67" t="s">
        <v>588</v>
      </c>
      <c r="N16" s="67" t="s">
        <v>736</v>
      </c>
    </row>
    <row r="17" spans="1:14" ht="34" customHeight="1" x14ac:dyDescent="0.2">
      <c r="A17" s="39" t="s">
        <v>560</v>
      </c>
      <c r="B17" s="39" t="s">
        <v>740</v>
      </c>
      <c r="C17" s="68" t="s">
        <v>591</v>
      </c>
      <c r="D17" s="67" t="s">
        <v>638</v>
      </c>
      <c r="E17" s="67" t="s">
        <v>309</v>
      </c>
      <c r="F17" s="67" t="s">
        <v>564</v>
      </c>
      <c r="G17" s="67"/>
      <c r="H17" s="67"/>
      <c r="I17" s="67"/>
      <c r="J17" s="67"/>
      <c r="K17" s="67"/>
      <c r="L17" s="67" t="s">
        <v>588</v>
      </c>
      <c r="M17" s="67"/>
      <c r="N17" s="67" t="s">
        <v>756</v>
      </c>
    </row>
    <row r="18" spans="1:14" ht="51" customHeight="1" x14ac:dyDescent="0.2">
      <c r="A18" s="39" t="s">
        <v>560</v>
      </c>
      <c r="B18" s="39" t="s">
        <v>740</v>
      </c>
      <c r="C18" s="68" t="s">
        <v>591</v>
      </c>
      <c r="D18" s="67" t="s">
        <v>638</v>
      </c>
      <c r="E18" s="67" t="s">
        <v>284</v>
      </c>
      <c r="F18" s="67" t="s">
        <v>564</v>
      </c>
      <c r="G18" s="67"/>
      <c r="H18" s="67"/>
      <c r="I18" s="67"/>
      <c r="J18" s="67" t="s">
        <v>592</v>
      </c>
      <c r="K18" s="67"/>
      <c r="L18" s="67" t="s">
        <v>567</v>
      </c>
      <c r="M18" s="67"/>
      <c r="N18" s="67" t="s">
        <v>757</v>
      </c>
    </row>
    <row r="19" spans="1:14" ht="34" customHeight="1" x14ac:dyDescent="0.2">
      <c r="A19" s="39" t="s">
        <v>560</v>
      </c>
      <c r="B19" s="39" t="s">
        <v>759</v>
      </c>
      <c r="C19" s="68" t="s">
        <v>591</v>
      </c>
      <c r="D19" s="67" t="s">
        <v>638</v>
      </c>
      <c r="E19" s="67" t="s">
        <v>319</v>
      </c>
      <c r="F19" s="67" t="s">
        <v>564</v>
      </c>
      <c r="G19" s="67"/>
      <c r="H19" s="67"/>
      <c r="I19" s="67"/>
      <c r="J19" s="67" t="s">
        <v>605</v>
      </c>
      <c r="K19" s="67"/>
      <c r="L19" s="67" t="s">
        <v>578</v>
      </c>
      <c r="M19" s="67"/>
      <c r="N19" s="67" t="s">
        <v>797</v>
      </c>
    </row>
    <row r="20" spans="1:14" ht="34" x14ac:dyDescent="0.2">
      <c r="A20" s="39" t="s">
        <v>560</v>
      </c>
      <c r="B20" s="39" t="s">
        <v>759</v>
      </c>
      <c r="C20" s="71" t="s">
        <v>562</v>
      </c>
      <c r="D20" s="72" t="s">
        <v>660</v>
      </c>
      <c r="E20" s="72" t="s">
        <v>360</v>
      </c>
      <c r="F20" s="72" t="s">
        <v>564</v>
      </c>
      <c r="G20" s="72"/>
      <c r="H20" s="72"/>
      <c r="I20" s="72"/>
      <c r="J20" s="72" t="s">
        <v>567</v>
      </c>
      <c r="K20" s="72" t="s">
        <v>588</v>
      </c>
      <c r="L20" s="72" t="s">
        <v>578</v>
      </c>
      <c r="M20" s="72"/>
      <c r="N20" s="72"/>
    </row>
    <row r="21" spans="1:14" ht="51" customHeight="1" x14ac:dyDescent="0.2">
      <c r="A21" s="39" t="s">
        <v>560</v>
      </c>
      <c r="B21" s="39" t="s">
        <v>759</v>
      </c>
      <c r="C21" s="71" t="s">
        <v>580</v>
      </c>
      <c r="D21" s="72" t="s">
        <v>660</v>
      </c>
      <c r="E21" s="72" t="s">
        <v>340</v>
      </c>
      <c r="F21" s="78" t="s">
        <v>769</v>
      </c>
      <c r="G21" s="72"/>
      <c r="H21" s="72"/>
      <c r="I21" s="72"/>
      <c r="J21" s="72" t="s">
        <v>599</v>
      </c>
      <c r="K21" s="72"/>
      <c r="L21" s="72" t="s">
        <v>677</v>
      </c>
      <c r="M21" s="72"/>
      <c r="N21" s="72" t="s">
        <v>802</v>
      </c>
    </row>
    <row r="22" spans="1:14" ht="68" customHeight="1" x14ac:dyDescent="0.2">
      <c r="A22" s="39" t="s">
        <v>560</v>
      </c>
      <c r="B22" s="39" t="s">
        <v>759</v>
      </c>
      <c r="C22" s="68" t="s">
        <v>591</v>
      </c>
      <c r="D22" s="67" t="s">
        <v>638</v>
      </c>
      <c r="E22" s="67" t="s">
        <v>282</v>
      </c>
      <c r="F22" s="67" t="s">
        <v>564</v>
      </c>
      <c r="G22" s="67" t="s">
        <v>595</v>
      </c>
      <c r="H22" s="67"/>
      <c r="I22" s="67"/>
      <c r="J22" s="67" t="s">
        <v>586</v>
      </c>
      <c r="K22" s="67"/>
      <c r="L22" s="67" t="s">
        <v>677</v>
      </c>
      <c r="M22" s="67" t="s">
        <v>578</v>
      </c>
      <c r="N22" s="67" t="s">
        <v>795</v>
      </c>
    </row>
    <row r="23" spans="1:14" ht="68" customHeight="1" x14ac:dyDescent="0.2">
      <c r="A23" s="39" t="s">
        <v>560</v>
      </c>
      <c r="B23" s="39" t="s">
        <v>803</v>
      </c>
      <c r="C23" s="68" t="s">
        <v>591</v>
      </c>
      <c r="D23" s="67" t="s">
        <v>638</v>
      </c>
      <c r="E23" s="67" t="s">
        <v>323</v>
      </c>
      <c r="F23" s="67" t="s">
        <v>564</v>
      </c>
      <c r="G23" s="67"/>
      <c r="H23" s="67"/>
      <c r="I23" s="67"/>
      <c r="J23" s="67" t="s">
        <v>592</v>
      </c>
      <c r="K23" s="67"/>
      <c r="L23" s="67" t="s">
        <v>578</v>
      </c>
      <c r="M23" s="70" t="s">
        <v>592</v>
      </c>
      <c r="N23" s="67" t="s">
        <v>818</v>
      </c>
    </row>
    <row r="24" spans="1:14" ht="68" customHeight="1" x14ac:dyDescent="0.2">
      <c r="A24" s="39" t="s">
        <v>560</v>
      </c>
      <c r="B24" s="39" t="s">
        <v>803</v>
      </c>
      <c r="C24" s="71" t="s">
        <v>580</v>
      </c>
      <c r="D24" s="72" t="s">
        <v>660</v>
      </c>
      <c r="E24" s="72" t="s">
        <v>346</v>
      </c>
      <c r="F24" s="72" t="s">
        <v>564</v>
      </c>
      <c r="G24" s="72"/>
      <c r="H24" s="72"/>
      <c r="I24" s="72"/>
      <c r="J24" s="90" t="s">
        <v>567</v>
      </c>
      <c r="K24" s="72"/>
      <c r="L24" s="90" t="s">
        <v>578</v>
      </c>
      <c r="M24" s="72"/>
      <c r="N24" s="72" t="s">
        <v>820</v>
      </c>
    </row>
    <row r="25" spans="1:14" ht="68" customHeight="1" x14ac:dyDescent="0.2">
      <c r="A25" s="39" t="s">
        <v>560</v>
      </c>
      <c r="B25" s="39" t="s">
        <v>803</v>
      </c>
      <c r="C25" s="71" t="s">
        <v>581</v>
      </c>
      <c r="D25" s="72" t="s">
        <v>660</v>
      </c>
      <c r="E25" s="72" t="s">
        <v>348</v>
      </c>
      <c r="F25" s="72" t="s">
        <v>564</v>
      </c>
      <c r="G25" s="72"/>
      <c r="H25" s="72"/>
      <c r="I25" s="72"/>
      <c r="J25" s="72"/>
      <c r="K25" s="72"/>
      <c r="L25" s="72"/>
      <c r="M25" s="72"/>
      <c r="N25" s="72" t="s">
        <v>821</v>
      </c>
    </row>
    <row r="26" spans="1:14" ht="51" customHeight="1" x14ac:dyDescent="0.2">
      <c r="A26" s="39" t="s">
        <v>560</v>
      </c>
      <c r="B26" s="39" t="s">
        <v>803</v>
      </c>
      <c r="C26" s="68" t="s">
        <v>591</v>
      </c>
      <c r="D26" s="67" t="s">
        <v>638</v>
      </c>
      <c r="E26" s="67" t="s">
        <v>300</v>
      </c>
      <c r="F26" s="67" t="s">
        <v>564</v>
      </c>
      <c r="G26" s="67"/>
      <c r="H26" s="67"/>
      <c r="I26" s="67"/>
      <c r="J26" s="70" t="s">
        <v>565</v>
      </c>
      <c r="K26" s="67"/>
      <c r="L26" s="67" t="s">
        <v>605</v>
      </c>
      <c r="M26" s="67"/>
      <c r="N26" s="67" t="s">
        <v>816</v>
      </c>
    </row>
    <row r="27" spans="1:14" ht="68" customHeight="1" x14ac:dyDescent="0.2">
      <c r="A27" s="39" t="s">
        <v>560</v>
      </c>
      <c r="B27" s="39" t="s">
        <v>803</v>
      </c>
      <c r="C27" s="68" t="s">
        <v>591</v>
      </c>
      <c r="D27" s="67" t="s">
        <v>638</v>
      </c>
      <c r="E27" s="67" t="s">
        <v>276</v>
      </c>
      <c r="F27" s="67" t="s">
        <v>564</v>
      </c>
      <c r="G27" s="67"/>
      <c r="H27" s="67"/>
      <c r="I27" s="67"/>
      <c r="J27" s="67" t="s">
        <v>565</v>
      </c>
      <c r="K27" s="67"/>
      <c r="L27" s="67" t="s">
        <v>567</v>
      </c>
      <c r="M27" s="67" t="s">
        <v>602</v>
      </c>
      <c r="N27" s="67" t="s">
        <v>817</v>
      </c>
    </row>
    <row r="28" spans="1:14" ht="34" customHeight="1" x14ac:dyDescent="0.2">
      <c r="A28" s="39" t="s">
        <v>560</v>
      </c>
      <c r="B28" s="39" t="s">
        <v>803</v>
      </c>
      <c r="C28" s="68" t="s">
        <v>591</v>
      </c>
      <c r="D28" s="67" t="s">
        <v>638</v>
      </c>
      <c r="E28" s="67" t="s">
        <v>274</v>
      </c>
      <c r="F28" s="67" t="s">
        <v>564</v>
      </c>
      <c r="G28" s="67" t="s">
        <v>585</v>
      </c>
      <c r="H28" s="67"/>
      <c r="I28" s="67"/>
      <c r="J28" s="67" t="s">
        <v>578</v>
      </c>
      <c r="K28" s="67"/>
      <c r="L28" s="67" t="s">
        <v>565</v>
      </c>
      <c r="M28" s="67" t="s">
        <v>602</v>
      </c>
      <c r="N28" s="67" t="s">
        <v>819</v>
      </c>
    </row>
    <row r="29" spans="1:14" ht="34" x14ac:dyDescent="0.2">
      <c r="A29" s="39" t="s">
        <v>560</v>
      </c>
      <c r="B29" s="39" t="s">
        <v>701</v>
      </c>
      <c r="C29" s="42" t="s">
        <v>581</v>
      </c>
      <c r="D29" s="41" t="s">
        <v>563</v>
      </c>
      <c r="E29" s="41" t="s">
        <v>524</v>
      </c>
      <c r="F29" s="41" t="s">
        <v>702</v>
      </c>
      <c r="G29" s="41"/>
      <c r="H29" s="41"/>
      <c r="I29" s="41"/>
      <c r="J29" s="41" t="s">
        <v>565</v>
      </c>
      <c r="K29" s="41"/>
      <c r="L29" s="41" t="s">
        <v>571</v>
      </c>
      <c r="M29" s="41"/>
      <c r="N29" s="41"/>
    </row>
    <row r="30" spans="1:14" ht="34" x14ac:dyDescent="0.2">
      <c r="A30" s="39" t="s">
        <v>560</v>
      </c>
      <c r="B30" s="39" t="s">
        <v>714</v>
      </c>
      <c r="C30" s="42" t="s">
        <v>581</v>
      </c>
      <c r="D30" s="41" t="s">
        <v>563</v>
      </c>
      <c r="E30" s="41" t="s">
        <v>500</v>
      </c>
      <c r="F30" s="41" t="s">
        <v>690</v>
      </c>
      <c r="G30" s="41"/>
      <c r="H30" s="41"/>
      <c r="I30" s="41"/>
      <c r="J30" s="41" t="s">
        <v>571</v>
      </c>
      <c r="K30" s="41"/>
      <c r="L30" s="41"/>
      <c r="M30" s="41"/>
      <c r="N30" s="41"/>
    </row>
    <row r="31" spans="1:14" ht="51" customHeight="1" x14ac:dyDescent="0.25">
      <c r="A31" s="39" t="s">
        <v>560</v>
      </c>
      <c r="B31" s="39" t="s">
        <v>725</v>
      </c>
      <c r="C31" s="40" t="s">
        <v>581</v>
      </c>
      <c r="D31" s="43" t="s">
        <v>563</v>
      </c>
      <c r="E31" s="41" t="s">
        <v>484</v>
      </c>
      <c r="F31" s="41" t="s">
        <v>564</v>
      </c>
      <c r="G31" s="41"/>
      <c r="H31" s="41"/>
      <c r="I31" s="41"/>
      <c r="J31" s="41" t="s">
        <v>588</v>
      </c>
      <c r="K31" s="41"/>
      <c r="L31" s="41" t="s">
        <v>567</v>
      </c>
      <c r="M31" s="41"/>
      <c r="N31" s="41" t="s">
        <v>726</v>
      </c>
    </row>
    <row r="32" spans="1:14" ht="119" customHeight="1" x14ac:dyDescent="0.25">
      <c r="A32" s="39" t="s">
        <v>560</v>
      </c>
      <c r="B32" s="39" t="s">
        <v>725</v>
      </c>
      <c r="C32" s="52" t="s">
        <v>581</v>
      </c>
      <c r="D32" s="53" t="s">
        <v>608</v>
      </c>
      <c r="E32" s="53" t="s">
        <v>528</v>
      </c>
      <c r="F32" s="53" t="s">
        <v>609</v>
      </c>
      <c r="G32" s="53"/>
      <c r="H32" s="53"/>
      <c r="I32" s="53"/>
      <c r="J32" s="53" t="s">
        <v>578</v>
      </c>
      <c r="K32" s="53"/>
      <c r="L32" s="53" t="s">
        <v>721</v>
      </c>
      <c r="M32" s="53"/>
      <c r="N32" s="53"/>
    </row>
    <row r="33" spans="1:14" ht="68" customHeight="1" x14ac:dyDescent="0.25">
      <c r="A33" s="39" t="s">
        <v>560</v>
      </c>
      <c r="B33" s="39" t="s">
        <v>725</v>
      </c>
      <c r="C33" s="52" t="s">
        <v>581</v>
      </c>
      <c r="D33" s="53" t="s">
        <v>608</v>
      </c>
      <c r="E33" s="53" t="s">
        <v>526</v>
      </c>
      <c r="F33" s="53" t="s">
        <v>655</v>
      </c>
      <c r="G33" s="53" t="s">
        <v>614</v>
      </c>
      <c r="H33" s="53"/>
      <c r="I33" s="53"/>
      <c r="J33" s="53"/>
      <c r="K33" s="53"/>
      <c r="L33" s="53"/>
      <c r="M33" s="53"/>
      <c r="N33" s="53"/>
    </row>
    <row r="34" spans="1:14" ht="68" customHeight="1" x14ac:dyDescent="0.2">
      <c r="A34" s="39" t="s">
        <v>560</v>
      </c>
      <c r="B34" s="39" t="s">
        <v>740</v>
      </c>
      <c r="C34" s="42" t="s">
        <v>580</v>
      </c>
      <c r="D34" s="41" t="s">
        <v>563</v>
      </c>
      <c r="E34" s="41" t="s">
        <v>509</v>
      </c>
      <c r="F34" s="41" t="s">
        <v>741</v>
      </c>
      <c r="G34" s="41"/>
      <c r="H34" s="41"/>
      <c r="I34" s="41"/>
      <c r="J34" s="41"/>
      <c r="K34" s="41"/>
      <c r="L34" s="41" t="s">
        <v>605</v>
      </c>
      <c r="M34" s="41"/>
      <c r="N34" s="41" t="s">
        <v>742</v>
      </c>
    </row>
    <row r="35" spans="1:14" ht="68" customHeight="1" x14ac:dyDescent="0.2">
      <c r="A35" s="39" t="s">
        <v>560</v>
      </c>
      <c r="B35" s="39" t="s">
        <v>740</v>
      </c>
      <c r="C35" s="42" t="s">
        <v>580</v>
      </c>
      <c r="D35" s="41" t="s">
        <v>563</v>
      </c>
      <c r="E35" s="41" t="s">
        <v>517</v>
      </c>
      <c r="F35" s="41" t="s">
        <v>668</v>
      </c>
      <c r="G35" s="41" t="s">
        <v>743</v>
      </c>
      <c r="H35" s="41" t="s">
        <v>741</v>
      </c>
      <c r="I35" s="41"/>
      <c r="J35" s="41"/>
      <c r="K35" s="41"/>
      <c r="L35" s="41"/>
      <c r="M35" s="41"/>
      <c r="N35" s="41"/>
    </row>
    <row r="36" spans="1:14" ht="51" x14ac:dyDescent="0.2">
      <c r="A36" s="39" t="s">
        <v>560</v>
      </c>
      <c r="B36" s="39" t="s">
        <v>740</v>
      </c>
      <c r="C36" s="42" t="s">
        <v>591</v>
      </c>
      <c r="D36" s="41" t="s">
        <v>563</v>
      </c>
      <c r="E36" s="41" t="s">
        <v>511</v>
      </c>
      <c r="F36" s="41" t="s">
        <v>741</v>
      </c>
      <c r="G36" s="41"/>
      <c r="H36" s="41"/>
      <c r="I36" s="41"/>
      <c r="J36" s="41" t="s">
        <v>565</v>
      </c>
      <c r="K36" s="41"/>
      <c r="L36" s="41" t="s">
        <v>592</v>
      </c>
      <c r="M36" s="41" t="s">
        <v>605</v>
      </c>
      <c r="N36" s="41"/>
    </row>
    <row r="37" spans="1:14" ht="34" customHeight="1" x14ac:dyDescent="0.2">
      <c r="A37" s="39" t="s">
        <v>560</v>
      </c>
      <c r="B37" s="39" t="s">
        <v>759</v>
      </c>
      <c r="C37" s="42" t="s">
        <v>591</v>
      </c>
      <c r="D37" s="41" t="s">
        <v>563</v>
      </c>
      <c r="E37" s="41" t="s">
        <v>486</v>
      </c>
      <c r="F37" s="41" t="s">
        <v>564</v>
      </c>
      <c r="G37" s="41"/>
      <c r="H37" s="41"/>
      <c r="I37" s="41"/>
      <c r="J37" s="41" t="s">
        <v>571</v>
      </c>
      <c r="K37" s="41"/>
      <c r="L37" s="41" t="s">
        <v>583</v>
      </c>
      <c r="M37" s="41" t="s">
        <v>602</v>
      </c>
      <c r="N37" s="41"/>
    </row>
    <row r="38" spans="1:14" ht="34" customHeight="1" x14ac:dyDescent="0.2">
      <c r="A38" s="39" t="s">
        <v>560</v>
      </c>
      <c r="B38" s="39" t="s">
        <v>759</v>
      </c>
      <c r="C38" s="42" t="s">
        <v>591</v>
      </c>
      <c r="D38" s="41" t="s">
        <v>563</v>
      </c>
      <c r="E38" s="41" t="s">
        <v>509</v>
      </c>
      <c r="F38" s="41" t="s">
        <v>564</v>
      </c>
      <c r="G38" s="41" t="s">
        <v>741</v>
      </c>
      <c r="H38" s="41"/>
      <c r="I38" s="41"/>
      <c r="J38" s="41" t="s">
        <v>571</v>
      </c>
      <c r="K38" s="41" t="s">
        <v>565</v>
      </c>
      <c r="L38" s="41" t="s">
        <v>578</v>
      </c>
      <c r="M38" s="41"/>
      <c r="N38" s="41"/>
    </row>
    <row r="39" spans="1:14" ht="34" customHeight="1" x14ac:dyDescent="0.2">
      <c r="A39" s="39" t="s">
        <v>560</v>
      </c>
      <c r="B39" s="39" t="s">
        <v>759</v>
      </c>
      <c r="C39" s="68" t="s">
        <v>581</v>
      </c>
      <c r="D39" s="67" t="s">
        <v>638</v>
      </c>
      <c r="E39" s="67" t="s">
        <v>532</v>
      </c>
      <c r="F39" s="67" t="s">
        <v>564</v>
      </c>
      <c r="G39" s="67"/>
      <c r="H39" s="67"/>
      <c r="I39" s="67"/>
      <c r="J39" s="67" t="s">
        <v>565</v>
      </c>
      <c r="K39" s="67"/>
      <c r="L39" s="67" t="s">
        <v>592</v>
      </c>
      <c r="M39" s="67"/>
      <c r="N39" s="67"/>
    </row>
    <row r="40" spans="1:14" ht="34" customHeight="1" x14ac:dyDescent="0.2">
      <c r="A40" s="39" t="s">
        <v>560</v>
      </c>
      <c r="B40" s="39" t="s">
        <v>759</v>
      </c>
      <c r="C40" s="68" t="s">
        <v>591</v>
      </c>
      <c r="D40" s="67" t="s">
        <v>638</v>
      </c>
      <c r="E40" s="67" t="s">
        <v>530</v>
      </c>
      <c r="F40" s="67" t="s">
        <v>564</v>
      </c>
      <c r="G40" s="67"/>
      <c r="H40" s="67"/>
      <c r="I40" s="67"/>
      <c r="J40" s="67" t="s">
        <v>565</v>
      </c>
      <c r="K40" s="67"/>
      <c r="L40" s="67"/>
      <c r="M40" s="67"/>
      <c r="N40" s="67"/>
    </row>
    <row r="41" spans="1:14" ht="34" x14ac:dyDescent="0.2">
      <c r="A41" s="39" t="s">
        <v>560</v>
      </c>
      <c r="B41" s="39" t="s">
        <v>803</v>
      </c>
      <c r="C41" s="42" t="s">
        <v>581</v>
      </c>
      <c r="D41" s="41" t="s">
        <v>563</v>
      </c>
      <c r="E41" s="41" t="s">
        <v>502</v>
      </c>
      <c r="F41" s="41" t="s">
        <v>564</v>
      </c>
      <c r="G41" s="41"/>
      <c r="H41" s="41"/>
      <c r="I41" s="41"/>
      <c r="J41" s="41"/>
      <c r="K41" s="41"/>
      <c r="L41" s="41"/>
      <c r="M41" s="41"/>
      <c r="N41" s="41" t="s">
        <v>804</v>
      </c>
    </row>
    <row r="42" spans="1:14" ht="34" customHeight="1" x14ac:dyDescent="0.2">
      <c r="A42" s="39" t="s">
        <v>560</v>
      </c>
      <c r="B42" s="39" t="s">
        <v>803</v>
      </c>
      <c r="C42" s="54" t="s">
        <v>580</v>
      </c>
      <c r="D42" s="53" t="s">
        <v>608</v>
      </c>
      <c r="E42" s="53" t="s">
        <v>492</v>
      </c>
      <c r="F42" s="53" t="s">
        <v>564</v>
      </c>
      <c r="G42" s="53" t="s">
        <v>655</v>
      </c>
      <c r="H42" s="53"/>
      <c r="I42" s="53"/>
      <c r="J42" s="53" t="s">
        <v>565</v>
      </c>
      <c r="K42" s="53" t="s">
        <v>588</v>
      </c>
      <c r="L42" s="53"/>
      <c r="M42" s="53"/>
      <c r="N42" s="53" t="s">
        <v>806</v>
      </c>
    </row>
    <row r="43" spans="1:14" ht="51" x14ac:dyDescent="0.2">
      <c r="A43" s="39" t="s">
        <v>560</v>
      </c>
      <c r="B43" s="39" t="s">
        <v>803</v>
      </c>
      <c r="C43" s="68" t="s">
        <v>591</v>
      </c>
      <c r="D43" s="67" t="s">
        <v>638</v>
      </c>
      <c r="E43" s="67" t="s">
        <v>496</v>
      </c>
      <c r="F43" s="67" t="s">
        <v>564</v>
      </c>
      <c r="G43" s="67"/>
      <c r="H43" s="67"/>
      <c r="I43" s="67"/>
      <c r="J43" s="67" t="s">
        <v>565</v>
      </c>
      <c r="K43" s="67"/>
      <c r="L43" s="67" t="s">
        <v>567</v>
      </c>
      <c r="M43" s="67" t="s">
        <v>602</v>
      </c>
      <c r="N43" s="67" t="s">
        <v>817</v>
      </c>
    </row>
    <row r="44" spans="1:14" ht="34" x14ac:dyDescent="0.2">
      <c r="A44" s="39" t="s">
        <v>560</v>
      </c>
      <c r="B44" s="39" t="s">
        <v>803</v>
      </c>
      <c r="C44" s="42" t="s">
        <v>581</v>
      </c>
      <c r="D44" s="41" t="s">
        <v>563</v>
      </c>
      <c r="E44" s="41" t="s">
        <v>513</v>
      </c>
      <c r="F44" s="41" t="s">
        <v>703</v>
      </c>
      <c r="G44" s="41" t="s">
        <v>766</v>
      </c>
      <c r="H44" s="41" t="s">
        <v>690</v>
      </c>
      <c r="I44" s="41"/>
      <c r="J44" s="41"/>
      <c r="K44" s="41"/>
      <c r="L44" s="41"/>
      <c r="M44" s="41"/>
      <c r="N44" s="41"/>
    </row>
    <row r="45" spans="1:14" ht="17" x14ac:dyDescent="0.2">
      <c r="A45" s="39" t="s">
        <v>560</v>
      </c>
      <c r="B45" s="39" t="s">
        <v>803</v>
      </c>
      <c r="C45" s="42" t="s">
        <v>581</v>
      </c>
      <c r="D45" s="41" t="s">
        <v>563</v>
      </c>
      <c r="E45" s="41" t="s">
        <v>519</v>
      </c>
      <c r="F45" s="41" t="s">
        <v>703</v>
      </c>
      <c r="G45" s="41"/>
      <c r="H45" s="41"/>
      <c r="I45" s="41"/>
      <c r="J45" s="41"/>
      <c r="K45" s="41"/>
      <c r="L45" s="41"/>
      <c r="M45" s="41"/>
      <c r="N45" s="41"/>
    </row>
    <row r="46" spans="1:14" ht="34" customHeight="1" x14ac:dyDescent="0.25">
      <c r="A46" s="39" t="s">
        <v>560</v>
      </c>
      <c r="B46" s="39" t="s">
        <v>561</v>
      </c>
      <c r="C46" s="52" t="s">
        <v>580</v>
      </c>
      <c r="D46" s="53" t="s">
        <v>608</v>
      </c>
      <c r="E46" s="53" t="s">
        <v>122</v>
      </c>
      <c r="F46" s="53" t="s">
        <v>609</v>
      </c>
      <c r="G46" s="53" t="s">
        <v>582</v>
      </c>
      <c r="H46" s="53" t="s">
        <v>610</v>
      </c>
      <c r="I46" s="53"/>
      <c r="J46" s="53" t="s">
        <v>586</v>
      </c>
      <c r="K46" s="53"/>
      <c r="L46" s="53" t="s">
        <v>588</v>
      </c>
      <c r="M46" s="53" t="s">
        <v>592</v>
      </c>
      <c r="N46" s="53" t="s">
        <v>611</v>
      </c>
    </row>
    <row r="47" spans="1:14" ht="51" customHeight="1" x14ac:dyDescent="0.25">
      <c r="A47" s="39" t="s">
        <v>560</v>
      </c>
      <c r="B47" s="39" t="s">
        <v>561</v>
      </c>
      <c r="C47" s="52" t="s">
        <v>580</v>
      </c>
      <c r="D47" s="53" t="s">
        <v>608</v>
      </c>
      <c r="E47" s="53" t="s">
        <v>126</v>
      </c>
      <c r="F47" s="53" t="s">
        <v>609</v>
      </c>
      <c r="G47" s="53" t="s">
        <v>595</v>
      </c>
      <c r="H47" s="53"/>
      <c r="I47" s="53"/>
      <c r="J47" s="53" t="s">
        <v>602</v>
      </c>
      <c r="K47" s="53"/>
      <c r="L47" s="53" t="s">
        <v>588</v>
      </c>
      <c r="M47" s="53"/>
      <c r="N47" s="53" t="s">
        <v>611</v>
      </c>
    </row>
    <row r="48" spans="1:14" ht="51" customHeight="1" x14ac:dyDescent="0.25">
      <c r="A48" s="39" t="s">
        <v>560</v>
      </c>
      <c r="B48" s="39" t="s">
        <v>561</v>
      </c>
      <c r="C48" s="66" t="s">
        <v>562</v>
      </c>
      <c r="D48" s="67" t="s">
        <v>638</v>
      </c>
      <c r="E48" s="67" t="s">
        <v>144</v>
      </c>
      <c r="F48" s="67" t="s">
        <v>564</v>
      </c>
      <c r="G48" s="67" t="s">
        <v>595</v>
      </c>
      <c r="H48" s="67"/>
      <c r="I48" s="67"/>
      <c r="J48" s="67" t="s">
        <v>565</v>
      </c>
      <c r="K48" s="67"/>
      <c r="L48" s="67" t="s">
        <v>578</v>
      </c>
      <c r="M48" s="67"/>
      <c r="N48" s="67" t="s">
        <v>629</v>
      </c>
    </row>
    <row r="49" spans="1:14" ht="68" customHeight="1" x14ac:dyDescent="0.25">
      <c r="A49" s="39" t="s">
        <v>560</v>
      </c>
      <c r="B49" s="39" t="s">
        <v>561</v>
      </c>
      <c r="C49" s="40" t="s">
        <v>581</v>
      </c>
      <c r="D49" s="41" t="s">
        <v>563</v>
      </c>
      <c r="E49" s="45" t="s">
        <v>223</v>
      </c>
      <c r="F49" s="41" t="s">
        <v>582</v>
      </c>
      <c r="G49" s="41"/>
      <c r="H49" s="41"/>
      <c r="I49" s="41"/>
      <c r="J49" s="41" t="s">
        <v>583</v>
      </c>
      <c r="K49" s="41"/>
      <c r="L49" s="41"/>
      <c r="M49" s="41"/>
      <c r="N49" s="41" t="s">
        <v>584</v>
      </c>
    </row>
    <row r="50" spans="1:14" ht="34" customHeight="1" x14ac:dyDescent="0.25">
      <c r="A50" s="39" t="s">
        <v>560</v>
      </c>
      <c r="B50" s="39" t="s">
        <v>561</v>
      </c>
      <c r="C50" s="52" t="s">
        <v>580</v>
      </c>
      <c r="D50" s="53" t="s">
        <v>608</v>
      </c>
      <c r="E50" s="53" t="s">
        <v>220</v>
      </c>
      <c r="F50" s="53" t="s">
        <v>609</v>
      </c>
      <c r="G50" s="53" t="s">
        <v>582</v>
      </c>
      <c r="H50" s="53" t="s">
        <v>610</v>
      </c>
      <c r="I50" s="53"/>
      <c r="J50" s="53" t="s">
        <v>586</v>
      </c>
      <c r="K50" s="53"/>
      <c r="L50" s="53" t="s">
        <v>588</v>
      </c>
      <c r="M50" s="53" t="s">
        <v>592</v>
      </c>
      <c r="N50" s="53" t="s">
        <v>611</v>
      </c>
    </row>
    <row r="51" spans="1:14" ht="39" customHeight="1" x14ac:dyDescent="0.25">
      <c r="A51" s="39" t="s">
        <v>560</v>
      </c>
      <c r="B51" s="39" t="s">
        <v>561</v>
      </c>
      <c r="C51" s="52" t="s">
        <v>580</v>
      </c>
      <c r="D51" s="53" t="s">
        <v>608</v>
      </c>
      <c r="E51" s="53" t="s">
        <v>174</v>
      </c>
      <c r="F51" s="53" t="s">
        <v>609</v>
      </c>
      <c r="G51" s="53" t="s">
        <v>582</v>
      </c>
      <c r="H51" s="53" t="s">
        <v>610</v>
      </c>
      <c r="I51" s="53"/>
      <c r="J51" s="53" t="s">
        <v>586</v>
      </c>
      <c r="K51" s="53"/>
      <c r="L51" s="53" t="s">
        <v>588</v>
      </c>
      <c r="M51" s="53" t="s">
        <v>592</v>
      </c>
      <c r="N51" s="53" t="s">
        <v>611</v>
      </c>
    </row>
    <row r="52" spans="1:14" ht="51" customHeight="1" x14ac:dyDescent="0.25">
      <c r="A52" s="39" t="s">
        <v>560</v>
      </c>
      <c r="B52" s="39" t="s">
        <v>561</v>
      </c>
      <c r="C52" s="52" t="s">
        <v>580</v>
      </c>
      <c r="D52" s="53" t="s">
        <v>608</v>
      </c>
      <c r="E52" s="53" t="s">
        <v>170</v>
      </c>
      <c r="F52" s="53" t="s">
        <v>610</v>
      </c>
      <c r="G52" s="53"/>
      <c r="H52" s="53"/>
      <c r="I52" s="53"/>
      <c r="J52" s="53"/>
      <c r="K52" s="53"/>
      <c r="L52" s="53" t="s">
        <v>588</v>
      </c>
      <c r="M52" s="53" t="s">
        <v>599</v>
      </c>
      <c r="N52" s="53" t="s">
        <v>612</v>
      </c>
    </row>
    <row r="53" spans="1:14" ht="34" customHeight="1" x14ac:dyDescent="0.2">
      <c r="A53" s="39" t="s">
        <v>560</v>
      </c>
      <c r="B53" s="39" t="s">
        <v>701</v>
      </c>
      <c r="C53" s="68" t="s">
        <v>580</v>
      </c>
      <c r="D53" s="67" t="s">
        <v>638</v>
      </c>
      <c r="E53" s="67" t="s">
        <v>132</v>
      </c>
      <c r="F53" s="67" t="s">
        <v>564</v>
      </c>
      <c r="G53" s="67"/>
      <c r="H53" s="67"/>
      <c r="I53" s="67"/>
      <c r="J53" s="67" t="s">
        <v>586</v>
      </c>
      <c r="K53" s="67"/>
      <c r="L53" s="67" t="s">
        <v>571</v>
      </c>
      <c r="M53" s="67"/>
      <c r="N53" s="67" t="s">
        <v>711</v>
      </c>
    </row>
    <row r="54" spans="1:14" ht="68" customHeight="1" x14ac:dyDescent="0.2">
      <c r="A54" s="39" t="s">
        <v>560</v>
      </c>
      <c r="B54" s="39" t="s">
        <v>701</v>
      </c>
      <c r="C54" s="75" t="s">
        <v>580</v>
      </c>
      <c r="D54" s="69" t="s">
        <v>638</v>
      </c>
      <c r="E54" s="67" t="s">
        <v>235</v>
      </c>
      <c r="F54" s="67" t="s">
        <v>609</v>
      </c>
      <c r="G54" s="67" t="s">
        <v>712</v>
      </c>
      <c r="H54" s="67"/>
      <c r="I54" s="67"/>
      <c r="J54" s="67"/>
      <c r="K54" s="67"/>
      <c r="L54" s="67" t="s">
        <v>588</v>
      </c>
      <c r="M54" s="76" t="s">
        <v>618</v>
      </c>
      <c r="N54" s="67" t="s">
        <v>713</v>
      </c>
    </row>
    <row r="55" spans="1:14" ht="85" customHeight="1" x14ac:dyDescent="0.2">
      <c r="A55" s="39" t="s">
        <v>560</v>
      </c>
      <c r="B55" s="39" t="s">
        <v>701</v>
      </c>
      <c r="C55" s="71" t="s">
        <v>580</v>
      </c>
      <c r="D55" s="72" t="s">
        <v>660</v>
      </c>
      <c r="E55" s="72" t="s">
        <v>225</v>
      </c>
      <c r="F55" s="72" t="s">
        <v>655</v>
      </c>
      <c r="G55" s="72"/>
      <c r="H55" s="72"/>
      <c r="I55" s="72"/>
      <c r="J55" s="72" t="s">
        <v>599</v>
      </c>
      <c r="K55" s="72"/>
      <c r="L55" s="72" t="s">
        <v>605</v>
      </c>
      <c r="M55" s="72"/>
      <c r="N55" s="72"/>
    </row>
    <row r="56" spans="1:14" ht="68" customHeight="1" x14ac:dyDescent="0.2">
      <c r="A56" s="39" t="s">
        <v>560</v>
      </c>
      <c r="B56" s="39" t="s">
        <v>714</v>
      </c>
      <c r="C56" s="48" t="s">
        <v>580</v>
      </c>
      <c r="D56" s="49" t="s">
        <v>594</v>
      </c>
      <c r="E56" s="49" t="s">
        <v>138</v>
      </c>
      <c r="F56" s="49" t="s">
        <v>595</v>
      </c>
      <c r="G56" s="49"/>
      <c r="H56" s="49"/>
      <c r="I56" s="49"/>
      <c r="J56" s="49" t="s">
        <v>586</v>
      </c>
      <c r="K56" s="49"/>
      <c r="L56" s="49" t="s">
        <v>604</v>
      </c>
      <c r="M56" s="49" t="s">
        <v>605</v>
      </c>
      <c r="N56" s="49" t="s">
        <v>715</v>
      </c>
    </row>
    <row r="57" spans="1:14" ht="68" customHeight="1" x14ac:dyDescent="0.2">
      <c r="A57" s="39" t="s">
        <v>560</v>
      </c>
      <c r="B57" s="39" t="s">
        <v>714</v>
      </c>
      <c r="C57" s="48" t="s">
        <v>580</v>
      </c>
      <c r="D57" s="49" t="s">
        <v>594</v>
      </c>
      <c r="E57" s="49" t="s">
        <v>227</v>
      </c>
      <c r="F57" s="49" t="s">
        <v>716</v>
      </c>
      <c r="G57" s="49"/>
      <c r="H57" s="49"/>
      <c r="I57" s="49"/>
      <c r="J57" s="49"/>
      <c r="K57" s="49"/>
      <c r="L57" s="49" t="s">
        <v>605</v>
      </c>
      <c r="M57" s="49"/>
      <c r="N57" s="49" t="s">
        <v>717</v>
      </c>
    </row>
    <row r="58" spans="1:14" ht="68" customHeight="1" x14ac:dyDescent="0.2">
      <c r="A58" s="39" t="s">
        <v>560</v>
      </c>
      <c r="B58" s="39" t="s">
        <v>714</v>
      </c>
      <c r="C58" s="68" t="s">
        <v>580</v>
      </c>
      <c r="D58" s="67" t="s">
        <v>638</v>
      </c>
      <c r="E58" s="67" t="s">
        <v>239</v>
      </c>
      <c r="F58" s="67" t="s">
        <v>595</v>
      </c>
      <c r="G58" s="67"/>
      <c r="H58" s="67"/>
      <c r="I58" s="67"/>
      <c r="J58" s="67"/>
      <c r="K58" s="67"/>
      <c r="L58" s="67" t="s">
        <v>721</v>
      </c>
      <c r="M58" s="67"/>
      <c r="N58" s="67" t="s">
        <v>722</v>
      </c>
    </row>
    <row r="59" spans="1:14" ht="68" customHeight="1" x14ac:dyDescent="0.2">
      <c r="A59" s="39" t="s">
        <v>560</v>
      </c>
      <c r="B59" s="39" t="s">
        <v>714</v>
      </c>
      <c r="C59" s="54" t="s">
        <v>580</v>
      </c>
      <c r="D59" s="53" t="s">
        <v>608</v>
      </c>
      <c r="E59" s="53" t="s">
        <v>176</v>
      </c>
      <c r="F59" s="53" t="s">
        <v>609</v>
      </c>
      <c r="G59" s="53" t="s">
        <v>615</v>
      </c>
      <c r="H59" s="53"/>
      <c r="I59" s="53"/>
      <c r="J59" s="53" t="s">
        <v>588</v>
      </c>
      <c r="K59" s="53" t="s">
        <v>565</v>
      </c>
      <c r="L59" s="53"/>
      <c r="M59" s="53"/>
      <c r="N59" s="53"/>
    </row>
    <row r="60" spans="1:14" ht="34" x14ac:dyDescent="0.2">
      <c r="A60" s="39" t="s">
        <v>560</v>
      </c>
      <c r="B60" s="39" t="s">
        <v>714</v>
      </c>
      <c r="C60" s="54" t="s">
        <v>581</v>
      </c>
      <c r="D60" s="53" t="s">
        <v>608</v>
      </c>
      <c r="E60" s="53" t="s">
        <v>178</v>
      </c>
      <c r="F60" s="53" t="s">
        <v>595</v>
      </c>
      <c r="G60" s="53" t="s">
        <v>609</v>
      </c>
      <c r="H60" s="53"/>
      <c r="I60" s="53"/>
      <c r="J60" s="53" t="s">
        <v>583</v>
      </c>
      <c r="K60" s="53"/>
      <c r="L60" s="53"/>
      <c r="M60" s="53"/>
      <c r="N60" s="53"/>
    </row>
    <row r="61" spans="1:14" ht="51" customHeight="1" x14ac:dyDescent="0.25">
      <c r="A61" s="39" t="s">
        <v>560</v>
      </c>
      <c r="B61" s="39" t="s">
        <v>725</v>
      </c>
      <c r="C61" s="77" t="s">
        <v>581</v>
      </c>
      <c r="D61" s="72" t="s">
        <v>660</v>
      </c>
      <c r="E61" s="97" t="s">
        <v>154</v>
      </c>
      <c r="F61" s="78" t="s">
        <v>738</v>
      </c>
      <c r="G61" s="72"/>
      <c r="H61" s="72"/>
      <c r="I61" s="72"/>
      <c r="J61" s="72" t="s">
        <v>605</v>
      </c>
      <c r="K61" s="72" t="s">
        <v>578</v>
      </c>
      <c r="L61" s="72" t="s">
        <v>583</v>
      </c>
      <c r="M61" s="97" t="s">
        <v>574</v>
      </c>
      <c r="N61" s="72" t="s">
        <v>739</v>
      </c>
    </row>
    <row r="62" spans="1:14" ht="51" customHeight="1" x14ac:dyDescent="0.25">
      <c r="A62" s="39" t="s">
        <v>560</v>
      </c>
      <c r="B62" s="39" t="s">
        <v>725</v>
      </c>
      <c r="C62" s="52" t="s">
        <v>562</v>
      </c>
      <c r="D62" s="53" t="s">
        <v>608</v>
      </c>
      <c r="E62" s="53" t="s">
        <v>168</v>
      </c>
      <c r="F62" s="53" t="s">
        <v>729</v>
      </c>
      <c r="G62" s="53"/>
      <c r="H62" s="53"/>
      <c r="I62" s="53"/>
      <c r="J62" s="53"/>
      <c r="K62" s="53"/>
      <c r="L62" s="53" t="s">
        <v>588</v>
      </c>
      <c r="M62" s="53"/>
      <c r="N62" s="53" t="s">
        <v>730</v>
      </c>
    </row>
    <row r="63" spans="1:14" ht="34" customHeight="1" x14ac:dyDescent="0.25">
      <c r="A63" s="39" t="s">
        <v>560</v>
      </c>
      <c r="B63" s="39" t="s">
        <v>725</v>
      </c>
      <c r="C63" s="52" t="s">
        <v>580</v>
      </c>
      <c r="D63" s="53" t="s">
        <v>608</v>
      </c>
      <c r="E63" s="53" t="s">
        <v>172</v>
      </c>
      <c r="F63" s="53" t="s">
        <v>564</v>
      </c>
      <c r="G63" s="53"/>
      <c r="H63" s="53"/>
      <c r="I63" s="53"/>
      <c r="J63" s="53" t="s">
        <v>588</v>
      </c>
      <c r="K63" s="53"/>
      <c r="L63" s="53" t="s">
        <v>588</v>
      </c>
      <c r="M63" s="53"/>
      <c r="N63" s="53"/>
    </row>
    <row r="64" spans="1:14" ht="34" customHeight="1" x14ac:dyDescent="0.25">
      <c r="A64" s="39" t="s">
        <v>560</v>
      </c>
      <c r="B64" s="39" t="s">
        <v>725</v>
      </c>
      <c r="C64" s="52" t="s">
        <v>580</v>
      </c>
      <c r="D64" s="53" t="s">
        <v>608</v>
      </c>
      <c r="E64" s="53" t="s">
        <v>164</v>
      </c>
      <c r="F64" s="53" t="s">
        <v>564</v>
      </c>
      <c r="G64" s="53" t="s">
        <v>609</v>
      </c>
      <c r="H64" s="53"/>
      <c r="I64" s="53"/>
      <c r="J64" s="53" t="s">
        <v>588</v>
      </c>
      <c r="K64" s="53"/>
      <c r="L64" s="53" t="s">
        <v>588</v>
      </c>
      <c r="M64" s="53"/>
      <c r="N64" s="53"/>
    </row>
    <row r="65" spans="1:14" ht="34" customHeight="1" x14ac:dyDescent="0.25">
      <c r="A65" s="39" t="s">
        <v>560</v>
      </c>
      <c r="B65" s="39" t="s">
        <v>725</v>
      </c>
      <c r="C65" s="52" t="s">
        <v>580</v>
      </c>
      <c r="D65" s="53" t="s">
        <v>608</v>
      </c>
      <c r="E65" s="53" t="s">
        <v>180</v>
      </c>
      <c r="F65" s="53" t="s">
        <v>564</v>
      </c>
      <c r="G65" s="53" t="s">
        <v>655</v>
      </c>
      <c r="H65" s="53" t="s">
        <v>585</v>
      </c>
      <c r="I65" s="53"/>
      <c r="J65" s="53" t="s">
        <v>588</v>
      </c>
      <c r="K65" s="53"/>
      <c r="L65" s="53"/>
      <c r="M65" s="53"/>
      <c r="N65" s="53"/>
    </row>
    <row r="66" spans="1:14" ht="34" x14ac:dyDescent="0.2">
      <c r="A66" s="39" t="s">
        <v>560</v>
      </c>
      <c r="B66" s="39" t="s">
        <v>740</v>
      </c>
      <c r="C66" s="68" t="s">
        <v>562</v>
      </c>
      <c r="D66" s="67" t="s">
        <v>638</v>
      </c>
      <c r="E66" s="76" t="s">
        <v>136</v>
      </c>
      <c r="F66" s="67" t="s">
        <v>564</v>
      </c>
      <c r="G66" s="67" t="s">
        <v>630</v>
      </c>
      <c r="H66" s="67"/>
      <c r="I66" s="67"/>
      <c r="J66" s="67" t="s">
        <v>578</v>
      </c>
      <c r="K66" s="67"/>
      <c r="L66" s="67"/>
      <c r="M66" s="67"/>
      <c r="N66" s="67" t="s">
        <v>752</v>
      </c>
    </row>
    <row r="67" spans="1:14" ht="51" x14ac:dyDescent="0.2">
      <c r="A67" s="39" t="s">
        <v>560</v>
      </c>
      <c r="B67" s="39" t="s">
        <v>740</v>
      </c>
      <c r="C67" s="68" t="s">
        <v>591</v>
      </c>
      <c r="D67" s="67" t="s">
        <v>638</v>
      </c>
      <c r="E67" s="76" t="s">
        <v>152</v>
      </c>
      <c r="F67" s="67" t="s">
        <v>564</v>
      </c>
      <c r="G67" s="67"/>
      <c r="H67" s="67"/>
      <c r="I67" s="67"/>
      <c r="J67" s="67"/>
      <c r="K67" s="67"/>
      <c r="L67" s="67" t="s">
        <v>571</v>
      </c>
      <c r="M67" s="67"/>
      <c r="N67" s="67" t="s">
        <v>755</v>
      </c>
    </row>
    <row r="68" spans="1:14" ht="51" x14ac:dyDescent="0.2">
      <c r="A68" s="39" t="s">
        <v>560</v>
      </c>
      <c r="B68" s="39" t="s">
        <v>740</v>
      </c>
      <c r="C68" s="71" t="s">
        <v>580</v>
      </c>
      <c r="D68" s="72" t="s">
        <v>660</v>
      </c>
      <c r="E68" s="72" t="s">
        <v>233</v>
      </c>
      <c r="F68" s="72" t="s">
        <v>564</v>
      </c>
      <c r="G68" s="72" t="s">
        <v>595</v>
      </c>
      <c r="H68" s="72"/>
      <c r="I68" s="72"/>
      <c r="J68" s="72" t="s">
        <v>583</v>
      </c>
      <c r="K68" s="72"/>
      <c r="L68" s="72"/>
      <c r="M68" s="72"/>
      <c r="N68" s="72" t="s">
        <v>758</v>
      </c>
    </row>
    <row r="69" spans="1:14" ht="51" x14ac:dyDescent="0.2">
      <c r="A69" s="39" t="s">
        <v>560</v>
      </c>
      <c r="B69" s="39" t="s">
        <v>740</v>
      </c>
      <c r="C69" s="54" t="s">
        <v>580</v>
      </c>
      <c r="D69" s="53" t="s">
        <v>608</v>
      </c>
      <c r="E69" s="53" t="s">
        <v>182</v>
      </c>
      <c r="F69" s="53" t="s">
        <v>615</v>
      </c>
      <c r="G69" s="53"/>
      <c r="H69" s="53"/>
      <c r="I69" s="53"/>
      <c r="J69" s="53"/>
      <c r="K69" s="53"/>
      <c r="L69" s="53" t="s">
        <v>677</v>
      </c>
      <c r="M69" s="53"/>
      <c r="N69" s="53" t="s">
        <v>745</v>
      </c>
    </row>
    <row r="70" spans="1:14" ht="34" x14ac:dyDescent="0.2">
      <c r="A70" s="39" t="s">
        <v>560</v>
      </c>
      <c r="B70" s="39" t="s">
        <v>740</v>
      </c>
      <c r="C70" s="54" t="s">
        <v>581</v>
      </c>
      <c r="D70" s="53" t="s">
        <v>608</v>
      </c>
      <c r="E70" s="53" t="s">
        <v>184</v>
      </c>
      <c r="F70" s="53" t="s">
        <v>564</v>
      </c>
      <c r="G70" s="53" t="s">
        <v>615</v>
      </c>
      <c r="H70" s="53" t="s">
        <v>614</v>
      </c>
      <c r="I70" s="53"/>
      <c r="J70" s="53" t="s">
        <v>599</v>
      </c>
      <c r="K70" s="53" t="s">
        <v>588</v>
      </c>
      <c r="L70" s="53"/>
      <c r="M70" s="53"/>
      <c r="N70" s="53"/>
    </row>
    <row r="71" spans="1:14" ht="51" x14ac:dyDescent="0.2">
      <c r="A71" s="39" t="s">
        <v>560</v>
      </c>
      <c r="B71" s="39" t="s">
        <v>740</v>
      </c>
      <c r="C71" s="54" t="s">
        <v>581</v>
      </c>
      <c r="D71" s="53" t="s">
        <v>608</v>
      </c>
      <c r="E71" s="53" t="s">
        <v>186</v>
      </c>
      <c r="F71" s="53" t="s">
        <v>609</v>
      </c>
      <c r="G71" s="53"/>
      <c r="H71" s="53"/>
      <c r="I71" s="53"/>
      <c r="J71" s="276" t="s">
        <v>565</v>
      </c>
      <c r="K71" s="53"/>
      <c r="L71" s="53" t="s">
        <v>588</v>
      </c>
      <c r="M71" s="53" t="s">
        <v>567</v>
      </c>
      <c r="N71" s="53" t="s">
        <v>746</v>
      </c>
    </row>
    <row r="72" spans="1:14" ht="34" x14ac:dyDescent="0.2">
      <c r="A72" s="39" t="s">
        <v>560</v>
      </c>
      <c r="B72" s="39" t="s">
        <v>740</v>
      </c>
      <c r="C72" s="54" t="s">
        <v>581</v>
      </c>
      <c r="D72" s="53" t="s">
        <v>608</v>
      </c>
      <c r="E72" s="53" t="s">
        <v>188</v>
      </c>
      <c r="F72" s="53" t="s">
        <v>564</v>
      </c>
      <c r="G72" s="53"/>
      <c r="H72" s="53"/>
      <c r="I72" s="53"/>
      <c r="J72" s="53"/>
      <c r="K72" s="53"/>
      <c r="L72" s="53"/>
      <c r="M72" s="53"/>
      <c r="N72" s="53"/>
    </row>
    <row r="73" spans="1:14" ht="34" x14ac:dyDescent="0.2">
      <c r="A73" s="39" t="s">
        <v>560</v>
      </c>
      <c r="B73" s="39" t="s">
        <v>740</v>
      </c>
      <c r="C73" s="75" t="s">
        <v>580</v>
      </c>
      <c r="D73" s="69" t="s">
        <v>638</v>
      </c>
      <c r="E73" s="67" t="s">
        <v>196</v>
      </c>
      <c r="F73" s="67" t="s">
        <v>564</v>
      </c>
      <c r="G73" s="67" t="s">
        <v>615</v>
      </c>
      <c r="H73" s="67"/>
      <c r="I73" s="67"/>
      <c r="J73" s="67"/>
      <c r="K73" s="67"/>
      <c r="L73" s="67"/>
      <c r="M73" s="67"/>
      <c r="N73" s="67"/>
    </row>
    <row r="74" spans="1:14" ht="34" customHeight="1" x14ac:dyDescent="0.2">
      <c r="A74" s="39" t="s">
        <v>560</v>
      </c>
      <c r="B74" s="39" t="s">
        <v>759</v>
      </c>
      <c r="C74" s="68" t="s">
        <v>591</v>
      </c>
      <c r="D74" s="67" t="s">
        <v>638</v>
      </c>
      <c r="E74" s="67" t="s">
        <v>128</v>
      </c>
      <c r="F74" s="67" t="s">
        <v>564</v>
      </c>
      <c r="G74" s="67"/>
      <c r="H74" s="67"/>
      <c r="I74" s="67"/>
      <c r="J74" s="67" t="s">
        <v>588</v>
      </c>
      <c r="K74" s="67"/>
      <c r="L74" s="67" t="s">
        <v>599</v>
      </c>
      <c r="M74" s="67" t="s">
        <v>583</v>
      </c>
      <c r="N74" s="67" t="s">
        <v>796</v>
      </c>
    </row>
    <row r="75" spans="1:14" ht="68" customHeight="1" x14ac:dyDescent="0.2">
      <c r="A75" s="39" t="s">
        <v>560</v>
      </c>
      <c r="B75" s="39" t="s">
        <v>759</v>
      </c>
      <c r="C75" s="54" t="s">
        <v>580</v>
      </c>
      <c r="D75" s="53" t="s">
        <v>608</v>
      </c>
      <c r="E75" s="53" t="s">
        <v>231</v>
      </c>
      <c r="F75" s="53" t="s">
        <v>655</v>
      </c>
      <c r="G75" s="53" t="s">
        <v>585</v>
      </c>
      <c r="H75" s="53" t="s">
        <v>684</v>
      </c>
      <c r="I75" s="53" t="s">
        <v>774</v>
      </c>
      <c r="J75" s="53" t="s">
        <v>565</v>
      </c>
      <c r="K75" s="53" t="s">
        <v>599</v>
      </c>
      <c r="L75" s="53"/>
      <c r="M75" s="53"/>
      <c r="N75" s="53"/>
    </row>
    <row r="76" spans="1:14" ht="34" customHeight="1" x14ac:dyDescent="0.2">
      <c r="A76" s="39" t="s">
        <v>560</v>
      </c>
      <c r="B76" s="39" t="s">
        <v>759</v>
      </c>
      <c r="C76" s="54" t="s">
        <v>581</v>
      </c>
      <c r="D76" s="53" t="s">
        <v>608</v>
      </c>
      <c r="E76" s="53" t="s">
        <v>229</v>
      </c>
      <c r="F76" s="53" t="s">
        <v>784</v>
      </c>
      <c r="G76" s="53"/>
      <c r="H76" s="53"/>
      <c r="I76" s="53"/>
      <c r="J76" s="53" t="s">
        <v>604</v>
      </c>
      <c r="K76" s="53" t="s">
        <v>571</v>
      </c>
      <c r="L76" s="53" t="s">
        <v>583</v>
      </c>
      <c r="M76" s="53"/>
      <c r="N76" s="53"/>
    </row>
    <row r="77" spans="1:14" ht="34" customHeight="1" x14ac:dyDescent="0.2">
      <c r="A77" s="39" t="s">
        <v>560</v>
      </c>
      <c r="B77" s="39" t="s">
        <v>759</v>
      </c>
      <c r="C77" s="54" t="s">
        <v>580</v>
      </c>
      <c r="D77" s="53" t="s">
        <v>608</v>
      </c>
      <c r="E77" s="53" t="s">
        <v>212</v>
      </c>
      <c r="F77" s="53" t="s">
        <v>655</v>
      </c>
      <c r="G77" s="53"/>
      <c r="H77" s="53"/>
      <c r="I77" s="53"/>
      <c r="J77" s="53" t="s">
        <v>588</v>
      </c>
      <c r="K77" s="53"/>
      <c r="L77" s="53" t="s">
        <v>602</v>
      </c>
      <c r="M77" s="276" t="s">
        <v>618</v>
      </c>
      <c r="N77" s="53" t="s">
        <v>705</v>
      </c>
    </row>
    <row r="78" spans="1:14" ht="51" customHeight="1" x14ac:dyDescent="0.2">
      <c r="A78" s="39" t="s">
        <v>560</v>
      </c>
      <c r="B78" s="39" t="s">
        <v>759</v>
      </c>
      <c r="C78" s="54" t="s">
        <v>580</v>
      </c>
      <c r="D78" s="53" t="s">
        <v>608</v>
      </c>
      <c r="E78" s="53" t="s">
        <v>214</v>
      </c>
      <c r="F78" s="53" t="s">
        <v>706</v>
      </c>
      <c r="G78" s="53" t="s">
        <v>707</v>
      </c>
      <c r="H78" s="53"/>
      <c r="I78" s="53"/>
      <c r="J78" s="53" t="s">
        <v>599</v>
      </c>
      <c r="K78" s="53"/>
      <c r="L78" s="53" t="s">
        <v>578</v>
      </c>
      <c r="M78" s="53" t="s">
        <v>605</v>
      </c>
      <c r="N78" s="53"/>
    </row>
    <row r="79" spans="1:14" ht="51" customHeight="1" x14ac:dyDescent="0.2">
      <c r="A79" s="39" t="s">
        <v>560</v>
      </c>
      <c r="B79" s="39" t="s">
        <v>759</v>
      </c>
      <c r="C79" s="54" t="s">
        <v>580</v>
      </c>
      <c r="D79" s="53" t="s">
        <v>608</v>
      </c>
      <c r="E79" s="53" t="s">
        <v>216</v>
      </c>
      <c r="F79" s="53" t="s">
        <v>706</v>
      </c>
      <c r="G79" s="53" t="s">
        <v>707</v>
      </c>
      <c r="H79" s="53"/>
      <c r="I79" s="53"/>
      <c r="J79" s="53" t="s">
        <v>599</v>
      </c>
      <c r="K79" s="53"/>
      <c r="L79" s="53" t="s">
        <v>583</v>
      </c>
      <c r="M79" s="276" t="s">
        <v>618</v>
      </c>
      <c r="N79" s="53" t="s">
        <v>708</v>
      </c>
    </row>
    <row r="80" spans="1:14" ht="68" customHeight="1" x14ac:dyDescent="0.2">
      <c r="A80" s="39" t="s">
        <v>560</v>
      </c>
      <c r="B80" s="39" t="s">
        <v>759</v>
      </c>
      <c r="C80" s="54" t="s">
        <v>580</v>
      </c>
      <c r="D80" s="53" t="s">
        <v>608</v>
      </c>
      <c r="E80" s="53" t="s">
        <v>198</v>
      </c>
      <c r="F80" s="53" t="s">
        <v>775</v>
      </c>
      <c r="G80" s="53"/>
      <c r="H80" s="53"/>
      <c r="I80" s="53"/>
      <c r="J80" s="53" t="s">
        <v>592</v>
      </c>
      <c r="K80" s="53"/>
      <c r="L80" s="53" t="s">
        <v>583</v>
      </c>
      <c r="M80" s="53"/>
      <c r="N80" s="53"/>
    </row>
    <row r="81" spans="1:14" ht="50" customHeight="1" x14ac:dyDescent="0.2">
      <c r="A81" s="39" t="s">
        <v>560</v>
      </c>
      <c r="B81" s="39" t="s">
        <v>759</v>
      </c>
      <c r="C81" s="54" t="s">
        <v>580</v>
      </c>
      <c r="D81" s="53" t="s">
        <v>608</v>
      </c>
      <c r="E81" s="53" t="s">
        <v>200</v>
      </c>
      <c r="F81" s="53" t="s">
        <v>655</v>
      </c>
      <c r="G81" s="53"/>
      <c r="H81" s="53"/>
      <c r="I81" s="53"/>
      <c r="J81" s="53" t="s">
        <v>602</v>
      </c>
      <c r="K81" s="53"/>
      <c r="L81" s="53" t="s">
        <v>583</v>
      </c>
      <c r="M81" s="53" t="s">
        <v>567</v>
      </c>
      <c r="N81" s="53" t="s">
        <v>776</v>
      </c>
    </row>
    <row r="82" spans="1:14" ht="34" customHeight="1" x14ac:dyDescent="0.2">
      <c r="A82" s="39" t="s">
        <v>560</v>
      </c>
      <c r="B82" s="39" t="s">
        <v>759</v>
      </c>
      <c r="C82" s="54" t="s">
        <v>580</v>
      </c>
      <c r="D82" s="53" t="s">
        <v>608</v>
      </c>
      <c r="E82" s="53" t="s">
        <v>202</v>
      </c>
      <c r="F82" s="53" t="s">
        <v>777</v>
      </c>
      <c r="G82" s="53" t="s">
        <v>564</v>
      </c>
      <c r="H82" s="53" t="s">
        <v>778</v>
      </c>
      <c r="I82" s="53"/>
      <c r="J82" s="53" t="s">
        <v>602</v>
      </c>
      <c r="K82" s="53"/>
      <c r="L82" s="53" t="s">
        <v>583</v>
      </c>
      <c r="M82" s="53" t="s">
        <v>567</v>
      </c>
      <c r="N82" s="53" t="s">
        <v>779</v>
      </c>
    </row>
    <row r="83" spans="1:14" ht="51" x14ac:dyDescent="0.2">
      <c r="A83" s="39" t="s">
        <v>560</v>
      </c>
      <c r="B83" s="39" t="s">
        <v>759</v>
      </c>
      <c r="C83" s="54" t="s">
        <v>580</v>
      </c>
      <c r="D83" s="53" t="s">
        <v>608</v>
      </c>
      <c r="E83" s="53" t="s">
        <v>166</v>
      </c>
      <c r="F83" s="53" t="s">
        <v>610</v>
      </c>
      <c r="G83" s="53"/>
      <c r="H83" s="53"/>
      <c r="I83" s="53"/>
      <c r="J83" s="53" t="s">
        <v>602</v>
      </c>
      <c r="K83" s="53"/>
      <c r="L83" s="53" t="s">
        <v>583</v>
      </c>
      <c r="M83" s="53" t="s">
        <v>567</v>
      </c>
      <c r="N83" s="53" t="s">
        <v>779</v>
      </c>
    </row>
    <row r="84" spans="1:14" ht="34" x14ac:dyDescent="0.2">
      <c r="A84" s="39" t="s">
        <v>560</v>
      </c>
      <c r="B84" s="39" t="s">
        <v>803</v>
      </c>
      <c r="C84" s="54" t="s">
        <v>580</v>
      </c>
      <c r="D84" s="53" t="s">
        <v>608</v>
      </c>
      <c r="E84" s="53" t="s">
        <v>206</v>
      </c>
      <c r="F84" s="53" t="s">
        <v>564</v>
      </c>
      <c r="G84" s="53" t="s">
        <v>609</v>
      </c>
      <c r="H84" s="53"/>
      <c r="I84" s="53"/>
      <c r="J84" s="53" t="s">
        <v>588</v>
      </c>
      <c r="K84" s="53"/>
      <c r="L84" s="53" t="s">
        <v>578</v>
      </c>
      <c r="M84" s="53"/>
      <c r="N84" s="53"/>
    </row>
    <row r="85" spans="1:14" ht="51" x14ac:dyDescent="0.2">
      <c r="A85" s="39" t="s">
        <v>560</v>
      </c>
      <c r="B85" s="39" t="s">
        <v>803</v>
      </c>
      <c r="C85" s="54" t="s">
        <v>580</v>
      </c>
      <c r="D85" s="53" t="s">
        <v>608</v>
      </c>
      <c r="E85" s="53" t="s">
        <v>204</v>
      </c>
      <c r="F85" s="53" t="s">
        <v>609</v>
      </c>
      <c r="G85" s="53" t="s">
        <v>784</v>
      </c>
      <c r="H85" s="53"/>
      <c r="I85" s="53"/>
      <c r="J85" s="53" t="s">
        <v>565</v>
      </c>
      <c r="K85" s="53" t="s">
        <v>571</v>
      </c>
      <c r="L85" s="276" t="s">
        <v>618</v>
      </c>
      <c r="M85" s="53"/>
      <c r="N85" s="53" t="s">
        <v>807</v>
      </c>
    </row>
    <row r="86" spans="1:14" ht="34" customHeight="1" x14ac:dyDescent="0.2">
      <c r="A86" s="39" t="s">
        <v>560</v>
      </c>
      <c r="B86" s="39" t="s">
        <v>803</v>
      </c>
      <c r="C86" s="54" t="s">
        <v>580</v>
      </c>
      <c r="D86" s="53" t="s">
        <v>608</v>
      </c>
      <c r="E86" s="53" t="s">
        <v>208</v>
      </c>
      <c r="F86" s="53" t="s">
        <v>564</v>
      </c>
      <c r="G86" s="53" t="s">
        <v>808</v>
      </c>
      <c r="H86" s="53"/>
      <c r="I86" s="53"/>
      <c r="J86" s="53" t="s">
        <v>565</v>
      </c>
      <c r="K86" s="53" t="s">
        <v>571</v>
      </c>
      <c r="L86" s="276" t="s">
        <v>618</v>
      </c>
      <c r="M86" s="53"/>
      <c r="N86" s="53" t="s">
        <v>809</v>
      </c>
    </row>
    <row r="87" spans="1:14" ht="68" x14ac:dyDescent="0.2">
      <c r="A87" s="39" t="s">
        <v>560</v>
      </c>
      <c r="B87" s="39" t="s">
        <v>803</v>
      </c>
      <c r="C87" s="54" t="s">
        <v>580</v>
      </c>
      <c r="D87" s="53" t="s">
        <v>608</v>
      </c>
      <c r="E87" s="53" t="s">
        <v>210</v>
      </c>
      <c r="F87" s="53" t="s">
        <v>564</v>
      </c>
      <c r="G87" s="53" t="s">
        <v>655</v>
      </c>
      <c r="H87" s="53"/>
      <c r="I87" s="53"/>
      <c r="J87" s="53" t="s">
        <v>565</v>
      </c>
      <c r="K87" s="53"/>
      <c r="L87" s="53" t="s">
        <v>571</v>
      </c>
      <c r="M87" s="53"/>
      <c r="N87" s="53" t="s">
        <v>810</v>
      </c>
    </row>
    <row r="88" spans="1:14" ht="34" customHeight="1" x14ac:dyDescent="0.25">
      <c r="A88" s="39" t="s">
        <v>560</v>
      </c>
      <c r="B88" s="39" t="s">
        <v>561</v>
      </c>
      <c r="C88" s="60" t="s">
        <v>562</v>
      </c>
      <c r="D88" s="59" t="s">
        <v>625</v>
      </c>
      <c r="E88" s="59" t="s">
        <v>14</v>
      </c>
      <c r="F88" s="59" t="s">
        <v>564</v>
      </c>
      <c r="G88" s="59"/>
      <c r="H88" s="59"/>
      <c r="I88" s="59"/>
      <c r="J88" s="59" t="s">
        <v>565</v>
      </c>
      <c r="K88" s="59" t="s">
        <v>628</v>
      </c>
      <c r="L88" s="59" t="s">
        <v>578</v>
      </c>
      <c r="M88" s="59"/>
      <c r="N88" s="59" t="s">
        <v>629</v>
      </c>
    </row>
    <row r="89" spans="1:14" ht="68" customHeight="1" x14ac:dyDescent="0.25">
      <c r="A89" s="39" t="s">
        <v>560</v>
      </c>
      <c r="B89" s="39" t="s">
        <v>561</v>
      </c>
      <c r="C89" s="66" t="s">
        <v>562</v>
      </c>
      <c r="D89" s="67" t="s">
        <v>638</v>
      </c>
      <c r="E89" s="67" t="s">
        <v>8</v>
      </c>
      <c r="F89" s="67" t="s">
        <v>564</v>
      </c>
      <c r="G89" s="67" t="s">
        <v>595</v>
      </c>
      <c r="H89" s="67"/>
      <c r="I89" s="67"/>
      <c r="J89" s="67" t="s">
        <v>565</v>
      </c>
      <c r="K89" s="67"/>
      <c r="L89" s="67" t="s">
        <v>565</v>
      </c>
      <c r="M89" s="67"/>
      <c r="N89" s="67" t="s">
        <v>639</v>
      </c>
    </row>
    <row r="90" spans="1:14" ht="51" customHeight="1" x14ac:dyDescent="0.25">
      <c r="A90" s="39" t="s">
        <v>560</v>
      </c>
      <c r="B90" s="39" t="s">
        <v>561</v>
      </c>
      <c r="C90" s="60" t="s">
        <v>562</v>
      </c>
      <c r="D90" s="59" t="s">
        <v>625</v>
      </c>
      <c r="E90" s="59" t="s">
        <v>108</v>
      </c>
      <c r="F90" s="59" t="s">
        <v>564</v>
      </c>
      <c r="G90" s="59" t="s">
        <v>630</v>
      </c>
      <c r="H90" s="59" t="s">
        <v>585</v>
      </c>
      <c r="I90" s="59"/>
      <c r="J90" s="59" t="s">
        <v>628</v>
      </c>
      <c r="K90" s="59"/>
      <c r="L90" s="59" t="s">
        <v>578</v>
      </c>
      <c r="M90" s="59"/>
      <c r="N90" s="59" t="s">
        <v>629</v>
      </c>
    </row>
    <row r="91" spans="1:14" ht="34" customHeight="1" x14ac:dyDescent="0.25">
      <c r="A91" s="39" t="s">
        <v>560</v>
      </c>
      <c r="B91" s="39" t="s">
        <v>561</v>
      </c>
      <c r="C91" s="66" t="s">
        <v>591</v>
      </c>
      <c r="D91" s="67" t="s">
        <v>638</v>
      </c>
      <c r="E91" s="67" t="s">
        <v>86</v>
      </c>
      <c r="F91" s="67" t="s">
        <v>564</v>
      </c>
      <c r="G91" s="67" t="s">
        <v>595</v>
      </c>
      <c r="H91" s="67"/>
      <c r="I91" s="67"/>
      <c r="J91" s="67"/>
      <c r="K91" s="67"/>
      <c r="L91" s="67" t="s">
        <v>648</v>
      </c>
      <c r="M91" s="67" t="s">
        <v>605</v>
      </c>
      <c r="N91" s="67" t="s">
        <v>649</v>
      </c>
    </row>
    <row r="92" spans="1:14" ht="68" customHeight="1" x14ac:dyDescent="0.2">
      <c r="A92" s="39" t="s">
        <v>560</v>
      </c>
      <c r="B92" s="39" t="s">
        <v>701</v>
      </c>
      <c r="C92" s="58" t="s">
        <v>562</v>
      </c>
      <c r="D92" s="59" t="s">
        <v>625</v>
      </c>
      <c r="E92" s="59" t="s">
        <v>63</v>
      </c>
      <c r="F92" s="59" t="s">
        <v>564</v>
      </c>
      <c r="G92" s="59" t="s">
        <v>595</v>
      </c>
      <c r="H92" s="59" t="s">
        <v>585</v>
      </c>
      <c r="I92" s="59"/>
      <c r="J92" s="59" t="s">
        <v>565</v>
      </c>
      <c r="K92" s="59"/>
      <c r="L92" s="59" t="s">
        <v>578</v>
      </c>
      <c r="M92" s="277" t="s">
        <v>574</v>
      </c>
      <c r="N92" s="59" t="s">
        <v>709</v>
      </c>
    </row>
    <row r="93" spans="1:14" ht="34" x14ac:dyDescent="0.2">
      <c r="A93" s="39" t="s">
        <v>560</v>
      </c>
      <c r="B93" s="39" t="s">
        <v>701</v>
      </c>
      <c r="C93" s="58" t="s">
        <v>562</v>
      </c>
      <c r="D93" s="59" t="s">
        <v>625</v>
      </c>
      <c r="E93" s="59" t="s">
        <v>98</v>
      </c>
      <c r="F93" s="59" t="s">
        <v>564</v>
      </c>
      <c r="G93" s="59"/>
      <c r="H93" s="59"/>
      <c r="I93" s="59"/>
      <c r="J93" s="59" t="s">
        <v>565</v>
      </c>
      <c r="K93" s="59"/>
      <c r="L93" s="59"/>
      <c r="M93" s="59"/>
      <c r="N93" s="59"/>
    </row>
    <row r="94" spans="1:14" ht="102" x14ac:dyDescent="0.2">
      <c r="A94" s="39" t="s">
        <v>560</v>
      </c>
      <c r="B94" s="39" t="s">
        <v>701</v>
      </c>
      <c r="C94" s="68" t="s">
        <v>562</v>
      </c>
      <c r="D94" s="67" t="s">
        <v>638</v>
      </c>
      <c r="E94" s="67" t="s">
        <v>92</v>
      </c>
      <c r="F94" s="67" t="s">
        <v>564</v>
      </c>
      <c r="G94" s="67" t="s">
        <v>630</v>
      </c>
      <c r="H94" s="67"/>
      <c r="I94" s="67"/>
      <c r="J94" s="67" t="s">
        <v>565</v>
      </c>
      <c r="K94" s="67" t="s">
        <v>567</v>
      </c>
      <c r="L94" s="67" t="s">
        <v>567</v>
      </c>
      <c r="M94" s="67"/>
      <c r="N94" s="67" t="s">
        <v>710</v>
      </c>
    </row>
    <row r="95" spans="1:14" ht="34" x14ac:dyDescent="0.2">
      <c r="A95" s="39" t="s">
        <v>560</v>
      </c>
      <c r="B95" s="39" t="s">
        <v>714</v>
      </c>
      <c r="C95" s="58" t="s">
        <v>562</v>
      </c>
      <c r="D95" s="59" t="s">
        <v>625</v>
      </c>
      <c r="E95" s="59" t="s">
        <v>50</v>
      </c>
      <c r="F95" s="59" t="s">
        <v>564</v>
      </c>
      <c r="G95" s="59" t="s">
        <v>595</v>
      </c>
      <c r="H95" s="59" t="s">
        <v>630</v>
      </c>
      <c r="I95" s="59"/>
      <c r="J95" s="59" t="s">
        <v>567</v>
      </c>
      <c r="K95" s="59"/>
      <c r="L95" s="59" t="s">
        <v>605</v>
      </c>
      <c r="M95" s="59"/>
      <c r="N95" s="59"/>
    </row>
    <row r="96" spans="1:14" ht="51" customHeight="1" x14ac:dyDescent="0.2">
      <c r="A96" s="39" t="s">
        <v>560</v>
      </c>
      <c r="B96" s="39" t="s">
        <v>714</v>
      </c>
      <c r="C96" s="58" t="s">
        <v>562</v>
      </c>
      <c r="D96" s="59" t="s">
        <v>625</v>
      </c>
      <c r="E96" s="59" t="s">
        <v>73</v>
      </c>
      <c r="F96" s="59" t="s">
        <v>564</v>
      </c>
      <c r="G96" s="59"/>
      <c r="H96" s="59"/>
      <c r="I96" s="59"/>
      <c r="J96" s="59" t="s">
        <v>565</v>
      </c>
      <c r="K96" s="59"/>
      <c r="L96" s="59" t="s">
        <v>567</v>
      </c>
      <c r="M96" s="59"/>
      <c r="N96" s="59"/>
    </row>
    <row r="97" spans="1:14" ht="34" customHeight="1" x14ac:dyDescent="0.2">
      <c r="A97" s="39" t="s">
        <v>560</v>
      </c>
      <c r="B97" s="39" t="s">
        <v>714</v>
      </c>
      <c r="C97" s="68" t="s">
        <v>562</v>
      </c>
      <c r="D97" s="67" t="s">
        <v>638</v>
      </c>
      <c r="E97" s="67" t="s">
        <v>88</v>
      </c>
      <c r="F97" s="67" t="s">
        <v>595</v>
      </c>
      <c r="G97" s="67"/>
      <c r="H97" s="67"/>
      <c r="I97" s="67"/>
      <c r="J97" s="67" t="s">
        <v>605</v>
      </c>
      <c r="K97" s="67"/>
      <c r="L97" s="67"/>
      <c r="M97" s="67"/>
      <c r="N97" s="67"/>
    </row>
    <row r="98" spans="1:14" ht="34" x14ac:dyDescent="0.2">
      <c r="A98" s="39" t="s">
        <v>560</v>
      </c>
      <c r="B98" s="39" t="s">
        <v>714</v>
      </c>
      <c r="C98" s="68" t="s">
        <v>562</v>
      </c>
      <c r="D98" s="67" t="s">
        <v>638</v>
      </c>
      <c r="E98" s="67" t="s">
        <v>90</v>
      </c>
      <c r="F98" s="67" t="s">
        <v>719</v>
      </c>
      <c r="G98" s="67"/>
      <c r="H98" s="67"/>
      <c r="I98" s="67"/>
      <c r="J98" s="67" t="s">
        <v>578</v>
      </c>
      <c r="K98" s="67"/>
      <c r="L98" s="67" t="s">
        <v>583</v>
      </c>
      <c r="M98" s="67"/>
      <c r="N98" s="67" t="s">
        <v>720</v>
      </c>
    </row>
    <row r="99" spans="1:14" ht="34" customHeight="1" x14ac:dyDescent="0.25">
      <c r="A99" s="39" t="s">
        <v>560</v>
      </c>
      <c r="B99" s="39" t="s">
        <v>725</v>
      </c>
      <c r="C99" s="60" t="s">
        <v>562</v>
      </c>
      <c r="D99" s="59" t="s">
        <v>625</v>
      </c>
      <c r="E99" s="59" t="s">
        <v>24</v>
      </c>
      <c r="F99" s="59" t="s">
        <v>564</v>
      </c>
      <c r="G99" s="59"/>
      <c r="H99" s="59"/>
      <c r="I99" s="59"/>
      <c r="J99" s="59"/>
      <c r="K99" s="59"/>
      <c r="L99" s="59"/>
      <c r="M99" s="59"/>
      <c r="N99" s="59"/>
    </row>
    <row r="100" spans="1:14" ht="51" customHeight="1" x14ac:dyDescent="0.25">
      <c r="A100" s="39" t="s">
        <v>560</v>
      </c>
      <c r="B100" s="39" t="s">
        <v>725</v>
      </c>
      <c r="C100" s="60" t="s">
        <v>562</v>
      </c>
      <c r="D100" s="59" t="s">
        <v>625</v>
      </c>
      <c r="E100" s="59" t="s">
        <v>26</v>
      </c>
      <c r="F100" s="59" t="s">
        <v>564</v>
      </c>
      <c r="G100" s="59" t="s">
        <v>595</v>
      </c>
      <c r="H100" s="59"/>
      <c r="I100" s="59"/>
      <c r="J100" s="59" t="s">
        <v>578</v>
      </c>
      <c r="K100" s="59"/>
      <c r="L100" s="59"/>
      <c r="M100" s="59"/>
      <c r="N100" s="59"/>
    </row>
    <row r="101" spans="1:14" ht="39" customHeight="1" x14ac:dyDescent="0.25">
      <c r="A101" s="39" t="s">
        <v>560</v>
      </c>
      <c r="B101" s="39" t="s">
        <v>725</v>
      </c>
      <c r="C101" s="60" t="s">
        <v>562</v>
      </c>
      <c r="D101" s="63" t="s">
        <v>625</v>
      </c>
      <c r="E101" s="59" t="s">
        <v>48</v>
      </c>
      <c r="F101" s="59" t="s">
        <v>564</v>
      </c>
      <c r="G101" s="59"/>
      <c r="H101" s="59"/>
      <c r="I101" s="59"/>
      <c r="J101" s="59" t="s">
        <v>578</v>
      </c>
      <c r="K101" s="59"/>
      <c r="L101" s="59" t="s">
        <v>578</v>
      </c>
      <c r="M101" s="59"/>
      <c r="N101" s="59"/>
    </row>
    <row r="102" spans="1:14" ht="51" customHeight="1" x14ac:dyDescent="0.25">
      <c r="A102" s="39" t="s">
        <v>560</v>
      </c>
      <c r="B102" s="39" t="s">
        <v>725</v>
      </c>
      <c r="C102" s="60" t="s">
        <v>562</v>
      </c>
      <c r="D102" s="59" t="s">
        <v>625</v>
      </c>
      <c r="E102" s="59" t="s">
        <v>69</v>
      </c>
      <c r="F102" s="59" t="s">
        <v>630</v>
      </c>
      <c r="G102" s="59" t="s">
        <v>595</v>
      </c>
      <c r="H102" s="59" t="s">
        <v>569</v>
      </c>
      <c r="I102" s="59"/>
      <c r="J102" s="59" t="s">
        <v>578</v>
      </c>
      <c r="K102" s="59" t="s">
        <v>565</v>
      </c>
      <c r="L102" s="59"/>
      <c r="M102" s="59"/>
      <c r="N102" s="59"/>
    </row>
    <row r="103" spans="1:14" ht="51" customHeight="1" x14ac:dyDescent="0.25">
      <c r="A103" s="39" t="s">
        <v>560</v>
      </c>
      <c r="B103" s="39" t="s">
        <v>725</v>
      </c>
      <c r="C103" s="60" t="s">
        <v>562</v>
      </c>
      <c r="D103" s="59" t="s">
        <v>625</v>
      </c>
      <c r="E103" s="59" t="s">
        <v>100</v>
      </c>
      <c r="F103" s="59" t="s">
        <v>564</v>
      </c>
      <c r="G103" s="59"/>
      <c r="H103" s="59"/>
      <c r="I103" s="59"/>
      <c r="J103" s="59"/>
      <c r="K103" s="59"/>
      <c r="L103" s="59" t="s">
        <v>565</v>
      </c>
      <c r="M103" s="59"/>
      <c r="N103" s="59" t="s">
        <v>731</v>
      </c>
    </row>
    <row r="104" spans="1:14" ht="34" customHeight="1" x14ac:dyDescent="0.25">
      <c r="A104" s="39" t="s">
        <v>560</v>
      </c>
      <c r="B104" s="39" t="s">
        <v>725</v>
      </c>
      <c r="C104" s="60" t="s">
        <v>562</v>
      </c>
      <c r="D104" s="59" t="s">
        <v>625</v>
      </c>
      <c r="E104" s="59" t="s">
        <v>102</v>
      </c>
      <c r="F104" s="59" t="s">
        <v>595</v>
      </c>
      <c r="G104" s="59"/>
      <c r="H104" s="59"/>
      <c r="I104" s="59"/>
      <c r="J104" s="59" t="s">
        <v>567</v>
      </c>
      <c r="K104" s="59"/>
      <c r="L104" s="59" t="s">
        <v>567</v>
      </c>
      <c r="M104" s="59"/>
      <c r="N104" s="59" t="s">
        <v>732</v>
      </c>
    </row>
    <row r="105" spans="1:14" ht="85" customHeight="1" x14ac:dyDescent="0.25">
      <c r="A105" s="39" t="s">
        <v>560</v>
      </c>
      <c r="B105" s="39" t="s">
        <v>725</v>
      </c>
      <c r="C105" s="66" t="s">
        <v>562</v>
      </c>
      <c r="D105" s="67" t="s">
        <v>638</v>
      </c>
      <c r="E105" s="67" t="s">
        <v>96</v>
      </c>
      <c r="F105" s="67" t="s">
        <v>564</v>
      </c>
      <c r="G105" s="67"/>
      <c r="H105" s="67"/>
      <c r="I105" s="67"/>
      <c r="J105" s="67" t="s">
        <v>578</v>
      </c>
      <c r="K105" s="67" t="s">
        <v>565</v>
      </c>
      <c r="L105" s="67" t="s">
        <v>604</v>
      </c>
      <c r="M105" s="76" t="s">
        <v>574</v>
      </c>
      <c r="N105" s="67"/>
    </row>
    <row r="106" spans="1:14" ht="51" x14ac:dyDescent="0.2">
      <c r="A106" s="39" t="s">
        <v>560</v>
      </c>
      <c r="B106" s="39" t="s">
        <v>740</v>
      </c>
      <c r="C106" s="58" t="s">
        <v>562</v>
      </c>
      <c r="D106" s="59" t="s">
        <v>625</v>
      </c>
      <c r="E106" s="59" t="s">
        <v>321</v>
      </c>
      <c r="F106" s="59" t="s">
        <v>564</v>
      </c>
      <c r="G106" s="59" t="s">
        <v>595</v>
      </c>
      <c r="H106" s="59"/>
      <c r="I106" s="59"/>
      <c r="J106" s="59" t="s">
        <v>565</v>
      </c>
      <c r="K106" s="59"/>
      <c r="L106" s="59" t="s">
        <v>605</v>
      </c>
      <c r="M106" s="59" t="s">
        <v>567</v>
      </c>
      <c r="N106" s="59" t="s">
        <v>748</v>
      </c>
    </row>
    <row r="107" spans="1:14" ht="85" x14ac:dyDescent="0.2">
      <c r="A107" s="39" t="s">
        <v>560</v>
      </c>
      <c r="B107" s="39" t="s">
        <v>740</v>
      </c>
      <c r="C107" s="68" t="s">
        <v>562</v>
      </c>
      <c r="D107" s="67" t="s">
        <v>638</v>
      </c>
      <c r="E107" s="67" t="s">
        <v>30</v>
      </c>
      <c r="F107" s="67" t="s">
        <v>564</v>
      </c>
      <c r="G107" s="67"/>
      <c r="H107" s="67"/>
      <c r="I107" s="67"/>
      <c r="J107" s="67" t="s">
        <v>567</v>
      </c>
      <c r="K107" s="67"/>
      <c r="L107" s="67" t="s">
        <v>583</v>
      </c>
      <c r="M107" s="67" t="s">
        <v>604</v>
      </c>
      <c r="N107" s="67" t="s">
        <v>753</v>
      </c>
    </row>
    <row r="108" spans="1:14" ht="51" x14ac:dyDescent="0.2">
      <c r="A108" s="39" t="s">
        <v>560</v>
      </c>
      <c r="B108" s="39" t="s">
        <v>740</v>
      </c>
      <c r="C108" s="58" t="s">
        <v>562</v>
      </c>
      <c r="D108" s="59" t="s">
        <v>625</v>
      </c>
      <c r="E108" s="59" t="s">
        <v>65</v>
      </c>
      <c r="F108" s="59" t="s">
        <v>564</v>
      </c>
      <c r="G108" s="59" t="s">
        <v>630</v>
      </c>
      <c r="H108" s="59" t="s">
        <v>595</v>
      </c>
      <c r="I108" s="59"/>
      <c r="J108" s="59"/>
      <c r="K108" s="59"/>
      <c r="L108" s="59" t="s">
        <v>578</v>
      </c>
      <c r="M108" s="277" t="s">
        <v>574</v>
      </c>
      <c r="N108" s="59" t="s">
        <v>749</v>
      </c>
    </row>
    <row r="109" spans="1:14" ht="34" x14ac:dyDescent="0.2">
      <c r="A109" s="39" t="s">
        <v>560</v>
      </c>
      <c r="B109" s="39" t="s">
        <v>740</v>
      </c>
      <c r="C109" s="58" t="s">
        <v>562</v>
      </c>
      <c r="D109" s="59" t="s">
        <v>625</v>
      </c>
      <c r="E109" s="59" t="s">
        <v>118</v>
      </c>
      <c r="F109" s="59" t="s">
        <v>564</v>
      </c>
      <c r="G109" s="59"/>
      <c r="H109" s="59"/>
      <c r="I109" s="59"/>
      <c r="J109" s="59"/>
      <c r="K109" s="59"/>
      <c r="L109" s="59" t="s">
        <v>578</v>
      </c>
      <c r="M109" s="59"/>
      <c r="N109" s="59" t="s">
        <v>747</v>
      </c>
    </row>
    <row r="110" spans="1:14" ht="34" customHeight="1" x14ac:dyDescent="0.2">
      <c r="A110" s="39" t="s">
        <v>560</v>
      </c>
      <c r="B110" s="39" t="s">
        <v>740</v>
      </c>
      <c r="C110" s="58" t="s">
        <v>562</v>
      </c>
      <c r="D110" s="59" t="s">
        <v>625</v>
      </c>
      <c r="E110" s="59" t="s">
        <v>116</v>
      </c>
      <c r="F110" s="59" t="s">
        <v>564</v>
      </c>
      <c r="G110" s="59"/>
      <c r="H110" s="59"/>
      <c r="I110" s="59"/>
      <c r="J110" s="59" t="s">
        <v>567</v>
      </c>
      <c r="K110" s="59"/>
      <c r="L110" s="59" t="s">
        <v>567</v>
      </c>
      <c r="M110" s="59"/>
      <c r="N110" s="59" t="s">
        <v>750</v>
      </c>
    </row>
    <row r="111" spans="1:14" ht="102" customHeight="1" x14ac:dyDescent="0.2">
      <c r="A111" s="39" t="s">
        <v>560</v>
      </c>
      <c r="B111" s="39" t="s">
        <v>740</v>
      </c>
      <c r="C111" s="58" t="s">
        <v>562</v>
      </c>
      <c r="D111" s="59" t="s">
        <v>625</v>
      </c>
      <c r="E111" s="59" t="s">
        <v>104</v>
      </c>
      <c r="F111" s="59" t="s">
        <v>564</v>
      </c>
      <c r="G111" s="59" t="s">
        <v>630</v>
      </c>
      <c r="H111" s="59"/>
      <c r="I111" s="59"/>
      <c r="J111" s="59" t="s">
        <v>567</v>
      </c>
      <c r="K111" s="59"/>
      <c r="L111" s="59" t="s">
        <v>588</v>
      </c>
      <c r="M111" s="59"/>
      <c r="N111" s="59" t="s">
        <v>751</v>
      </c>
    </row>
    <row r="112" spans="1:14" ht="51" customHeight="1" x14ac:dyDescent="0.2">
      <c r="A112" s="39" t="s">
        <v>560</v>
      </c>
      <c r="B112" s="39" t="s">
        <v>759</v>
      </c>
      <c r="C112" s="48" t="s">
        <v>562</v>
      </c>
      <c r="D112" s="49" t="s">
        <v>594</v>
      </c>
      <c r="E112" s="49" t="s">
        <v>67</v>
      </c>
      <c r="F112" s="49" t="s">
        <v>564</v>
      </c>
      <c r="G112" s="49"/>
      <c r="H112" s="49"/>
      <c r="I112" s="49"/>
      <c r="J112" s="49" t="s">
        <v>567</v>
      </c>
      <c r="K112" s="49" t="s">
        <v>588</v>
      </c>
      <c r="L112" s="49" t="s">
        <v>578</v>
      </c>
      <c r="M112" s="49"/>
      <c r="N112" s="49"/>
    </row>
    <row r="113" spans="1:14" ht="51" customHeight="1" x14ac:dyDescent="0.2">
      <c r="A113" s="39" t="s">
        <v>560</v>
      </c>
      <c r="B113" s="39" t="s">
        <v>759</v>
      </c>
      <c r="C113" s="68" t="s">
        <v>562</v>
      </c>
      <c r="D113" s="67" t="s">
        <v>638</v>
      </c>
      <c r="E113" s="67" t="s">
        <v>75</v>
      </c>
      <c r="F113" s="67" t="s">
        <v>564</v>
      </c>
      <c r="G113" s="67"/>
      <c r="H113" s="67"/>
      <c r="I113" s="67"/>
      <c r="J113" s="67" t="s">
        <v>605</v>
      </c>
      <c r="K113" s="67"/>
      <c r="L113" s="67" t="s">
        <v>578</v>
      </c>
      <c r="M113" s="67" t="s">
        <v>567</v>
      </c>
      <c r="N113" s="67" t="s">
        <v>790</v>
      </c>
    </row>
    <row r="114" spans="1:14" ht="34" customHeight="1" x14ac:dyDescent="0.2">
      <c r="A114" s="39" t="s">
        <v>560</v>
      </c>
      <c r="B114" s="39" t="s">
        <v>803</v>
      </c>
      <c r="C114" s="58" t="s">
        <v>581</v>
      </c>
      <c r="D114" s="59" t="s">
        <v>625</v>
      </c>
      <c r="E114" s="59" t="s">
        <v>28</v>
      </c>
      <c r="F114" s="59" t="s">
        <v>564</v>
      </c>
      <c r="G114" s="59"/>
      <c r="H114" s="59"/>
      <c r="I114" s="59"/>
      <c r="J114" s="59"/>
      <c r="K114" s="59"/>
      <c r="L114" s="59"/>
      <c r="M114" s="59"/>
      <c r="N114" s="59" t="s">
        <v>815</v>
      </c>
    </row>
    <row r="115" spans="1:14" ht="34" customHeight="1" x14ac:dyDescent="0.2">
      <c r="A115" s="39" t="s">
        <v>560</v>
      </c>
      <c r="B115" s="39" t="s">
        <v>803</v>
      </c>
      <c r="C115" s="58" t="s">
        <v>562</v>
      </c>
      <c r="D115" s="59" t="s">
        <v>625</v>
      </c>
      <c r="E115" s="59" t="s">
        <v>77</v>
      </c>
      <c r="F115" s="59" t="s">
        <v>564</v>
      </c>
      <c r="G115" s="59"/>
      <c r="H115" s="59"/>
      <c r="I115" s="59"/>
      <c r="J115" s="65" t="s">
        <v>602</v>
      </c>
      <c r="K115" s="59" t="s">
        <v>605</v>
      </c>
      <c r="L115" s="59" t="s">
        <v>605</v>
      </c>
      <c r="M115" s="65"/>
      <c r="N115" s="59" t="s">
        <v>812</v>
      </c>
    </row>
    <row r="116" spans="1:14" ht="51" x14ac:dyDescent="0.2">
      <c r="A116" s="39" t="s">
        <v>560</v>
      </c>
      <c r="B116" s="39" t="s">
        <v>803</v>
      </c>
      <c r="C116" s="58" t="s">
        <v>562</v>
      </c>
      <c r="D116" s="59" t="s">
        <v>625</v>
      </c>
      <c r="E116" s="59" t="s">
        <v>71</v>
      </c>
      <c r="F116" s="59" t="s">
        <v>564</v>
      </c>
      <c r="G116" s="59" t="s">
        <v>630</v>
      </c>
      <c r="H116" s="59"/>
      <c r="I116" s="59"/>
      <c r="J116" s="59" t="s">
        <v>602</v>
      </c>
      <c r="K116" s="59"/>
      <c r="L116" s="65" t="s">
        <v>578</v>
      </c>
      <c r="M116" s="59" t="s">
        <v>565</v>
      </c>
      <c r="N116" s="59" t="s">
        <v>813</v>
      </c>
    </row>
    <row r="117" spans="1:14" ht="34" x14ac:dyDescent="0.2">
      <c r="A117" s="39" t="s">
        <v>560</v>
      </c>
      <c r="B117" s="39" t="s">
        <v>803</v>
      </c>
      <c r="C117" s="58" t="s">
        <v>562</v>
      </c>
      <c r="D117" s="59" t="s">
        <v>625</v>
      </c>
      <c r="E117" s="59" t="s">
        <v>114</v>
      </c>
      <c r="F117" s="59" t="s">
        <v>564</v>
      </c>
      <c r="G117" s="59"/>
      <c r="H117" s="59"/>
      <c r="I117" s="59"/>
      <c r="J117" s="59"/>
      <c r="K117" s="59"/>
      <c r="L117" s="59" t="s">
        <v>578</v>
      </c>
      <c r="M117" s="59"/>
      <c r="N117" s="59" t="s">
        <v>811</v>
      </c>
    </row>
    <row r="118" spans="1:14" ht="51" customHeight="1" x14ac:dyDescent="0.2">
      <c r="A118" s="39" t="s">
        <v>560</v>
      </c>
      <c r="B118" s="39" t="s">
        <v>803</v>
      </c>
      <c r="C118" s="68" t="s">
        <v>591</v>
      </c>
      <c r="D118" s="67" t="s">
        <v>638</v>
      </c>
      <c r="E118" s="67" t="s">
        <v>94</v>
      </c>
      <c r="F118" s="67" t="s">
        <v>564</v>
      </c>
      <c r="G118" s="67"/>
      <c r="H118" s="67"/>
      <c r="I118" s="67"/>
      <c r="J118" s="67" t="s">
        <v>592</v>
      </c>
      <c r="K118" s="67"/>
      <c r="L118" s="67" t="s">
        <v>578</v>
      </c>
      <c r="M118" s="70" t="s">
        <v>592</v>
      </c>
      <c r="N118" s="67" t="s">
        <v>818</v>
      </c>
    </row>
    <row r="119" spans="1:14" ht="34" customHeight="1" x14ac:dyDescent="0.25">
      <c r="A119" s="39" t="s">
        <v>560</v>
      </c>
      <c r="B119" s="39" t="s">
        <v>561</v>
      </c>
      <c r="C119" s="40" t="s">
        <v>562</v>
      </c>
      <c r="D119" s="41" t="s">
        <v>563</v>
      </c>
      <c r="E119" s="41" t="s">
        <v>444</v>
      </c>
      <c r="F119" s="41" t="s">
        <v>564</v>
      </c>
      <c r="G119" s="41"/>
      <c r="H119" s="41"/>
      <c r="I119" s="41"/>
      <c r="J119" s="41" t="s">
        <v>565</v>
      </c>
      <c r="K119" s="41"/>
      <c r="L119" s="41"/>
      <c r="M119" s="41"/>
      <c r="N119" s="41"/>
    </row>
    <row r="120" spans="1:14" ht="34" x14ac:dyDescent="0.2">
      <c r="A120" s="39" t="s">
        <v>560</v>
      </c>
      <c r="B120" s="39" t="s">
        <v>701</v>
      </c>
      <c r="C120" s="68" t="s">
        <v>581</v>
      </c>
      <c r="D120" s="67" t="s">
        <v>638</v>
      </c>
      <c r="E120" s="67" t="s">
        <v>478</v>
      </c>
      <c r="F120" s="67" t="s">
        <v>564</v>
      </c>
      <c r="G120" s="67" t="s">
        <v>585</v>
      </c>
      <c r="H120" s="67"/>
      <c r="I120" s="67"/>
      <c r="J120" s="67" t="s">
        <v>599</v>
      </c>
      <c r="K120" s="76" t="s">
        <v>583</v>
      </c>
      <c r="L120" s="67" t="s">
        <v>588</v>
      </c>
      <c r="M120" s="67"/>
      <c r="N120" s="67"/>
    </row>
    <row r="121" spans="1:14" ht="34" x14ac:dyDescent="0.2">
      <c r="A121" s="39" t="s">
        <v>560</v>
      </c>
      <c r="B121" s="39" t="s">
        <v>701</v>
      </c>
      <c r="C121" s="42" t="s">
        <v>562</v>
      </c>
      <c r="D121" s="41" t="s">
        <v>563</v>
      </c>
      <c r="E121" s="41" t="s">
        <v>462</v>
      </c>
      <c r="F121" s="41" t="s">
        <v>564</v>
      </c>
      <c r="G121" s="41" t="s">
        <v>595</v>
      </c>
      <c r="H121" s="41"/>
      <c r="I121" s="41"/>
      <c r="J121" s="41" t="s">
        <v>565</v>
      </c>
      <c r="K121" s="45" t="s">
        <v>571</v>
      </c>
      <c r="L121" s="41" t="s">
        <v>578</v>
      </c>
      <c r="M121" s="41"/>
      <c r="N121" s="41"/>
    </row>
    <row r="122" spans="1:14" ht="34" x14ac:dyDescent="0.2">
      <c r="A122" s="39" t="s">
        <v>560</v>
      </c>
      <c r="B122" s="39" t="s">
        <v>701</v>
      </c>
      <c r="C122" s="42" t="s">
        <v>591</v>
      </c>
      <c r="D122" s="41" t="s">
        <v>563</v>
      </c>
      <c r="E122" s="41" t="s">
        <v>468</v>
      </c>
      <c r="F122" s="41" t="s">
        <v>703</v>
      </c>
      <c r="G122" s="41"/>
      <c r="H122" s="41"/>
      <c r="I122" s="41"/>
      <c r="J122" s="41" t="s">
        <v>583</v>
      </c>
      <c r="K122" s="41"/>
      <c r="L122" s="41" t="s">
        <v>605</v>
      </c>
      <c r="M122" s="41"/>
      <c r="N122" s="41"/>
    </row>
    <row r="123" spans="1:14" ht="34" customHeight="1" x14ac:dyDescent="0.2">
      <c r="A123" s="39" t="s">
        <v>560</v>
      </c>
      <c r="B123" s="39" t="s">
        <v>701</v>
      </c>
      <c r="C123" s="42" t="s">
        <v>591</v>
      </c>
      <c r="D123" s="41" t="s">
        <v>563</v>
      </c>
      <c r="E123" s="41" t="s">
        <v>466</v>
      </c>
      <c r="F123" s="41" t="s">
        <v>570</v>
      </c>
      <c r="G123" s="41"/>
      <c r="H123" s="41"/>
      <c r="I123" s="41"/>
      <c r="J123" s="41" t="s">
        <v>565</v>
      </c>
      <c r="K123" s="45" t="s">
        <v>583</v>
      </c>
      <c r="L123" s="41" t="s">
        <v>571</v>
      </c>
      <c r="M123" s="41"/>
      <c r="N123" s="41" t="s">
        <v>704</v>
      </c>
    </row>
    <row r="124" spans="1:14" ht="34" customHeight="1" x14ac:dyDescent="0.2">
      <c r="A124" s="39" t="s">
        <v>560</v>
      </c>
      <c r="B124" s="39" t="s">
        <v>740</v>
      </c>
      <c r="C124" s="68" t="s">
        <v>580</v>
      </c>
      <c r="D124" s="67" t="s">
        <v>638</v>
      </c>
      <c r="E124" s="67" t="s">
        <v>470</v>
      </c>
      <c r="F124" s="67" t="s">
        <v>564</v>
      </c>
      <c r="G124" s="67" t="s">
        <v>595</v>
      </c>
      <c r="H124" s="67"/>
      <c r="I124" s="67"/>
      <c r="J124" s="67" t="s">
        <v>605</v>
      </c>
      <c r="K124" s="67"/>
      <c r="L124" s="67"/>
      <c r="M124" s="67"/>
      <c r="N124" s="67" t="s">
        <v>754</v>
      </c>
    </row>
    <row r="125" spans="1:14" ht="38" customHeight="1" x14ac:dyDescent="0.2">
      <c r="A125" s="39" t="s">
        <v>560</v>
      </c>
      <c r="B125" s="39" t="s">
        <v>759</v>
      </c>
      <c r="C125" s="42" t="s">
        <v>581</v>
      </c>
      <c r="D125" s="41" t="s">
        <v>563</v>
      </c>
      <c r="E125" s="41" t="s">
        <v>482</v>
      </c>
      <c r="F125" s="41" t="s">
        <v>703</v>
      </c>
      <c r="G125" s="41"/>
      <c r="H125" s="41"/>
      <c r="I125" s="41"/>
      <c r="J125" s="41" t="s">
        <v>571</v>
      </c>
      <c r="K125" s="41" t="s">
        <v>565</v>
      </c>
      <c r="L125" s="41" t="s">
        <v>605</v>
      </c>
      <c r="M125" s="41" t="s">
        <v>583</v>
      </c>
      <c r="N125" s="41" t="s">
        <v>765</v>
      </c>
    </row>
    <row r="126" spans="1:14" ht="51" x14ac:dyDescent="0.2">
      <c r="A126" s="39" t="s">
        <v>560</v>
      </c>
      <c r="B126" s="39" t="s">
        <v>759</v>
      </c>
      <c r="C126" s="68" t="s">
        <v>580</v>
      </c>
      <c r="D126" s="67" t="s">
        <v>638</v>
      </c>
      <c r="E126" s="67" t="s">
        <v>335</v>
      </c>
      <c r="F126" s="67" t="s">
        <v>564</v>
      </c>
      <c r="G126" s="67"/>
      <c r="H126" s="67"/>
      <c r="I126" s="67"/>
      <c r="J126" s="67" t="s">
        <v>583</v>
      </c>
      <c r="K126" s="67" t="s">
        <v>571</v>
      </c>
      <c r="L126" s="67"/>
      <c r="M126" s="67"/>
      <c r="N126" s="67"/>
    </row>
    <row r="127" spans="1:14" ht="34" customHeight="1" x14ac:dyDescent="0.2">
      <c r="A127" s="39" t="s">
        <v>560</v>
      </c>
      <c r="B127" s="39" t="s">
        <v>803</v>
      </c>
      <c r="C127" s="58" t="s">
        <v>580</v>
      </c>
      <c r="D127" s="59" t="s">
        <v>625</v>
      </c>
      <c r="E127" s="59" t="s">
        <v>464</v>
      </c>
      <c r="F127" s="59" t="s">
        <v>564</v>
      </c>
      <c r="G127" s="59"/>
      <c r="H127" s="59"/>
      <c r="I127" s="59"/>
      <c r="J127" s="59" t="s">
        <v>599</v>
      </c>
      <c r="K127" s="277" t="s">
        <v>571</v>
      </c>
      <c r="L127" s="59"/>
      <c r="M127" s="59"/>
      <c r="N127" s="59" t="s">
        <v>814</v>
      </c>
    </row>
    <row r="128" spans="1:14" ht="34" customHeight="1" x14ac:dyDescent="0.25">
      <c r="A128" s="39" t="s">
        <v>560</v>
      </c>
      <c r="B128" s="39" t="s">
        <v>561</v>
      </c>
      <c r="C128" s="50" t="s">
        <v>591</v>
      </c>
      <c r="D128" s="49" t="s">
        <v>594</v>
      </c>
      <c r="E128" s="49" t="s">
        <v>382</v>
      </c>
      <c r="F128" s="49" t="s">
        <v>564</v>
      </c>
      <c r="G128" s="49" t="s">
        <v>595</v>
      </c>
      <c r="H128" s="49"/>
      <c r="I128" s="49"/>
      <c r="J128" s="49"/>
      <c r="K128" s="49"/>
      <c r="L128" s="49"/>
      <c r="M128" s="49"/>
      <c r="N128" s="49"/>
    </row>
    <row r="129" spans="1:14" ht="34" customHeight="1" x14ac:dyDescent="0.25">
      <c r="A129" s="39" t="s">
        <v>560</v>
      </c>
      <c r="B129" s="39" t="s">
        <v>561</v>
      </c>
      <c r="C129" s="50" t="s">
        <v>591</v>
      </c>
      <c r="D129" s="49" t="s">
        <v>594</v>
      </c>
      <c r="E129" s="49" t="s">
        <v>362</v>
      </c>
      <c r="F129" s="49" t="s">
        <v>564</v>
      </c>
      <c r="G129" s="49" t="s">
        <v>585</v>
      </c>
      <c r="H129" s="49"/>
      <c r="I129" s="49"/>
      <c r="J129" s="49"/>
      <c r="K129" s="49"/>
      <c r="L129" s="49" t="s">
        <v>578</v>
      </c>
      <c r="M129" s="49"/>
      <c r="N129" s="49" t="s">
        <v>601</v>
      </c>
    </row>
    <row r="130" spans="1:14" ht="34" customHeight="1" x14ac:dyDescent="0.2">
      <c r="A130" s="39" t="s">
        <v>560</v>
      </c>
      <c r="B130" s="39" t="s">
        <v>701</v>
      </c>
      <c r="C130" s="68" t="s">
        <v>591</v>
      </c>
      <c r="D130" s="67" t="s">
        <v>638</v>
      </c>
      <c r="E130" s="67" t="s">
        <v>409</v>
      </c>
      <c r="F130" s="67" t="s">
        <v>564</v>
      </c>
      <c r="G130" s="67"/>
      <c r="H130" s="67"/>
      <c r="I130" s="67"/>
      <c r="J130" s="67" t="s">
        <v>565</v>
      </c>
      <c r="K130" s="67"/>
      <c r="L130" s="67" t="s">
        <v>586</v>
      </c>
      <c r="M130" s="67"/>
      <c r="N130" s="67"/>
    </row>
    <row r="131" spans="1:14" ht="34" customHeight="1" x14ac:dyDescent="0.25">
      <c r="A131" s="39" t="s">
        <v>560</v>
      </c>
      <c r="B131" s="39" t="s">
        <v>725</v>
      </c>
      <c r="C131" s="50" t="s">
        <v>591</v>
      </c>
      <c r="D131" s="49" t="s">
        <v>594</v>
      </c>
      <c r="E131" s="49" t="s">
        <v>438</v>
      </c>
      <c r="F131" s="49" t="s">
        <v>564</v>
      </c>
      <c r="G131" s="49"/>
      <c r="H131" s="49"/>
      <c r="I131" s="49"/>
      <c r="J131" s="49" t="s">
        <v>565</v>
      </c>
      <c r="K131" s="49"/>
      <c r="L131" s="49" t="s">
        <v>605</v>
      </c>
      <c r="M131" s="49"/>
      <c r="N131" s="49"/>
    </row>
    <row r="132" spans="1:14" ht="26" customHeight="1" x14ac:dyDescent="0.25">
      <c r="A132" s="39" t="s">
        <v>560</v>
      </c>
      <c r="B132" s="39" t="s">
        <v>725</v>
      </c>
      <c r="C132" s="77" t="s">
        <v>580</v>
      </c>
      <c r="D132" s="72" t="s">
        <v>660</v>
      </c>
      <c r="E132" s="72" t="s">
        <v>460</v>
      </c>
      <c r="F132" s="72" t="s">
        <v>564</v>
      </c>
      <c r="G132" s="72" t="s">
        <v>595</v>
      </c>
      <c r="H132" s="72"/>
      <c r="I132" s="72"/>
      <c r="J132" s="72"/>
      <c r="K132" s="72"/>
      <c r="L132" s="72"/>
      <c r="M132" s="72"/>
      <c r="N132" s="72"/>
    </row>
    <row r="133" spans="1:14" ht="68" customHeight="1" x14ac:dyDescent="0.2">
      <c r="A133" s="39" t="s">
        <v>560</v>
      </c>
      <c r="B133" s="39" t="s">
        <v>740</v>
      </c>
      <c r="C133" s="48" t="s">
        <v>580</v>
      </c>
      <c r="D133" s="49" t="s">
        <v>594</v>
      </c>
      <c r="E133" s="49" t="s">
        <v>430</v>
      </c>
      <c r="F133" s="49" t="s">
        <v>564</v>
      </c>
      <c r="G133" s="49"/>
      <c r="H133" s="49"/>
      <c r="I133" s="49"/>
      <c r="J133" s="49"/>
      <c r="K133" s="49"/>
      <c r="L133" s="49"/>
      <c r="M133" s="49"/>
      <c r="N133" s="49"/>
    </row>
    <row r="134" spans="1:14" ht="51" customHeight="1" x14ac:dyDescent="0.2">
      <c r="A134" s="39" t="s">
        <v>560</v>
      </c>
      <c r="B134" s="39" t="s">
        <v>740</v>
      </c>
      <c r="C134" s="48" t="s">
        <v>580</v>
      </c>
      <c r="D134" s="49" t="s">
        <v>594</v>
      </c>
      <c r="E134" s="49" t="s">
        <v>432</v>
      </c>
      <c r="F134" s="49" t="s">
        <v>564</v>
      </c>
      <c r="G134" s="49"/>
      <c r="H134" s="49"/>
      <c r="I134" s="49"/>
      <c r="J134" s="49"/>
      <c r="K134" s="49"/>
      <c r="L134" s="49"/>
      <c r="M134" s="49"/>
      <c r="N134" s="49"/>
    </row>
    <row r="135" spans="1:14" ht="51" customHeight="1" x14ac:dyDescent="0.2">
      <c r="A135" s="39" t="s">
        <v>560</v>
      </c>
      <c r="B135" s="39" t="s">
        <v>740</v>
      </c>
      <c r="C135" s="48" t="s">
        <v>580</v>
      </c>
      <c r="D135" s="49" t="s">
        <v>594</v>
      </c>
      <c r="E135" s="49" t="s">
        <v>434</v>
      </c>
      <c r="F135" s="49" t="s">
        <v>564</v>
      </c>
      <c r="G135" s="49"/>
      <c r="H135" s="49"/>
      <c r="I135" s="49"/>
      <c r="J135" s="49" t="s">
        <v>605</v>
      </c>
      <c r="K135" s="49"/>
      <c r="L135" s="49"/>
      <c r="M135" s="49"/>
      <c r="N135" s="49" t="s">
        <v>744</v>
      </c>
    </row>
    <row r="136" spans="1:14" ht="51" customHeight="1" x14ac:dyDescent="0.2">
      <c r="A136" s="39" t="s">
        <v>560</v>
      </c>
      <c r="B136" s="39" t="s">
        <v>740</v>
      </c>
      <c r="C136" s="48" t="s">
        <v>580</v>
      </c>
      <c r="D136" s="49" t="s">
        <v>594</v>
      </c>
      <c r="E136" s="49" t="s">
        <v>426</v>
      </c>
      <c r="F136" s="49" t="s">
        <v>564</v>
      </c>
      <c r="G136" s="49"/>
      <c r="H136" s="49"/>
      <c r="I136" s="49"/>
      <c r="J136" s="49"/>
      <c r="K136" s="49"/>
      <c r="L136" s="49"/>
      <c r="M136" s="49"/>
      <c r="N136" s="49"/>
    </row>
    <row r="137" spans="1:14" ht="34" customHeight="1" x14ac:dyDescent="0.2">
      <c r="A137" s="39" t="s">
        <v>560</v>
      </c>
      <c r="B137" s="39" t="s">
        <v>759</v>
      </c>
      <c r="C137" s="48" t="s">
        <v>580</v>
      </c>
      <c r="D137" s="49" t="s">
        <v>594</v>
      </c>
      <c r="E137" s="49" t="s">
        <v>384</v>
      </c>
      <c r="F137" s="49" t="s">
        <v>564</v>
      </c>
      <c r="G137" s="49" t="s">
        <v>595</v>
      </c>
      <c r="H137" s="49"/>
      <c r="I137" s="49"/>
      <c r="J137" s="49"/>
      <c r="K137" s="49"/>
      <c r="L137" s="49"/>
      <c r="M137" s="49"/>
      <c r="N137" s="49"/>
    </row>
    <row r="138" spans="1:14" ht="34" customHeight="1" x14ac:dyDescent="0.2">
      <c r="A138" s="39" t="s">
        <v>560</v>
      </c>
      <c r="B138" s="39" t="s">
        <v>759</v>
      </c>
      <c r="C138" s="48" t="s">
        <v>580</v>
      </c>
      <c r="D138" s="49" t="s">
        <v>594</v>
      </c>
      <c r="E138" s="49" t="s">
        <v>386</v>
      </c>
      <c r="F138" s="49" t="s">
        <v>564</v>
      </c>
      <c r="G138" s="49" t="s">
        <v>595</v>
      </c>
      <c r="H138" s="49"/>
      <c r="I138" s="49"/>
      <c r="J138" s="49"/>
      <c r="K138" s="49"/>
      <c r="L138" s="49"/>
      <c r="M138" s="49"/>
      <c r="N138" s="49"/>
    </row>
    <row r="139" spans="1:14" ht="34" customHeight="1" x14ac:dyDescent="0.2">
      <c r="A139" s="39" t="s">
        <v>560</v>
      </c>
      <c r="B139" s="39" t="s">
        <v>759</v>
      </c>
      <c r="C139" s="48" t="s">
        <v>580</v>
      </c>
      <c r="D139" s="49" t="s">
        <v>594</v>
      </c>
      <c r="E139" s="49" t="s">
        <v>397</v>
      </c>
      <c r="F139" s="49" t="s">
        <v>564</v>
      </c>
      <c r="G139" s="49" t="s">
        <v>595</v>
      </c>
      <c r="H139" s="49"/>
      <c r="I139" s="49"/>
      <c r="J139" s="49" t="s">
        <v>599</v>
      </c>
      <c r="K139" s="49"/>
      <c r="L139" s="49" t="s">
        <v>677</v>
      </c>
      <c r="M139" s="98" t="s">
        <v>592</v>
      </c>
      <c r="N139" s="49" t="s">
        <v>768</v>
      </c>
    </row>
    <row r="140" spans="1:14" ht="34" customHeight="1" x14ac:dyDescent="0.2">
      <c r="A140" s="39" t="s">
        <v>560</v>
      </c>
      <c r="B140" s="39" t="s">
        <v>759</v>
      </c>
      <c r="C140" s="48" t="s">
        <v>580</v>
      </c>
      <c r="D140" s="49" t="s">
        <v>594</v>
      </c>
      <c r="E140" s="49" t="s">
        <v>417</v>
      </c>
      <c r="F140" s="74" t="s">
        <v>769</v>
      </c>
      <c r="G140" s="49"/>
      <c r="H140" s="49"/>
      <c r="I140" s="49"/>
      <c r="J140" s="49" t="s">
        <v>599</v>
      </c>
      <c r="K140" s="49"/>
      <c r="L140" s="98" t="s">
        <v>592</v>
      </c>
      <c r="M140" s="49"/>
      <c r="N140" s="49" t="s">
        <v>770</v>
      </c>
    </row>
    <row r="141" spans="1:14" ht="34" customHeight="1" x14ac:dyDescent="0.2">
      <c r="A141" s="39" t="s">
        <v>560</v>
      </c>
      <c r="B141" s="39" t="s">
        <v>759</v>
      </c>
      <c r="C141" s="48" t="s">
        <v>580</v>
      </c>
      <c r="D141" s="49" t="s">
        <v>594</v>
      </c>
      <c r="E141" s="49" t="s">
        <v>419</v>
      </c>
      <c r="F141" s="49" t="s">
        <v>564</v>
      </c>
      <c r="G141" s="49"/>
      <c r="H141" s="49"/>
      <c r="I141" s="49"/>
      <c r="J141" s="49" t="s">
        <v>599</v>
      </c>
      <c r="K141" s="49"/>
      <c r="L141" s="49" t="s">
        <v>677</v>
      </c>
      <c r="M141" s="49"/>
      <c r="N141" s="49" t="s">
        <v>770</v>
      </c>
    </row>
    <row r="142" spans="1:14" ht="34" customHeight="1" x14ac:dyDescent="0.2">
      <c r="A142" s="39" t="s">
        <v>560</v>
      </c>
      <c r="B142" s="39" t="s">
        <v>759</v>
      </c>
      <c r="C142" s="48" t="s">
        <v>591</v>
      </c>
      <c r="D142" s="49" t="s">
        <v>594</v>
      </c>
      <c r="E142" s="49" t="s">
        <v>413</v>
      </c>
      <c r="F142" s="49" t="s">
        <v>564</v>
      </c>
      <c r="G142" s="49"/>
      <c r="H142" s="49"/>
      <c r="I142" s="49"/>
      <c r="J142" s="49" t="s">
        <v>565</v>
      </c>
      <c r="K142" s="49"/>
      <c r="L142" s="49" t="s">
        <v>604</v>
      </c>
      <c r="M142" s="49" t="s">
        <v>605</v>
      </c>
      <c r="N142" s="49" t="s">
        <v>773</v>
      </c>
    </row>
    <row r="143" spans="1:14" ht="26" customHeight="1" x14ac:dyDescent="0.2">
      <c r="A143" s="39" t="s">
        <v>560</v>
      </c>
      <c r="B143" s="39" t="s">
        <v>803</v>
      </c>
      <c r="C143" s="48" t="s">
        <v>580</v>
      </c>
      <c r="D143" s="49" t="s">
        <v>594</v>
      </c>
      <c r="E143" s="49" t="s">
        <v>442</v>
      </c>
      <c r="F143" s="49" t="s">
        <v>564</v>
      </c>
      <c r="G143" s="49" t="s">
        <v>595</v>
      </c>
      <c r="H143" s="49"/>
      <c r="I143" s="49"/>
      <c r="J143" s="49" t="s">
        <v>565</v>
      </c>
      <c r="K143" s="49"/>
      <c r="L143" s="49"/>
      <c r="M143" s="49"/>
      <c r="N143" s="49" t="s">
        <v>805</v>
      </c>
    </row>
    <row r="144" spans="1:14" ht="34" customHeight="1" x14ac:dyDescent="0.2">
      <c r="A144" s="39" t="s">
        <v>560</v>
      </c>
      <c r="B144" s="39" t="s">
        <v>803</v>
      </c>
      <c r="C144" s="48" t="s">
        <v>580</v>
      </c>
      <c r="D144" s="49" t="s">
        <v>594</v>
      </c>
      <c r="E144" s="49" t="s">
        <v>399</v>
      </c>
      <c r="F144" s="49" t="s">
        <v>564</v>
      </c>
      <c r="G144" s="49" t="s">
        <v>595</v>
      </c>
      <c r="H144" s="49"/>
      <c r="I144" s="49"/>
      <c r="J144" s="49"/>
      <c r="K144" s="49"/>
      <c r="L144" s="49"/>
      <c r="M144" s="49"/>
      <c r="N144" s="49" t="s">
        <v>805</v>
      </c>
    </row>
    <row r="145" spans="1:14" ht="34" customHeight="1" x14ac:dyDescent="0.2">
      <c r="A145" s="39" t="s">
        <v>560</v>
      </c>
      <c r="B145" s="39" t="s">
        <v>803</v>
      </c>
      <c r="C145" s="48" t="s">
        <v>580</v>
      </c>
      <c r="D145" s="49" t="s">
        <v>594</v>
      </c>
      <c r="E145" s="49" t="s">
        <v>403</v>
      </c>
      <c r="F145" s="49" t="s">
        <v>564</v>
      </c>
      <c r="G145" s="49"/>
      <c r="H145" s="49"/>
      <c r="I145" s="49"/>
      <c r="J145" s="49"/>
      <c r="K145" s="49"/>
      <c r="L145" s="49"/>
      <c r="M145" s="49"/>
      <c r="N145" s="49"/>
    </row>
    <row r="146" spans="1:14" ht="34" customHeight="1" x14ac:dyDescent="0.2">
      <c r="A146" s="39" t="s">
        <v>560</v>
      </c>
      <c r="B146" s="39" t="s">
        <v>803</v>
      </c>
      <c r="C146" s="71" t="s">
        <v>581</v>
      </c>
      <c r="D146" s="72" t="s">
        <v>660</v>
      </c>
      <c r="E146" s="72" t="s">
        <v>421</v>
      </c>
      <c r="F146" s="72" t="s">
        <v>564</v>
      </c>
      <c r="G146" s="72"/>
      <c r="H146" s="72"/>
      <c r="I146" s="72"/>
      <c r="J146" s="90" t="s">
        <v>586</v>
      </c>
      <c r="K146" s="90" t="s">
        <v>599</v>
      </c>
      <c r="L146" s="72"/>
      <c r="M146" s="72"/>
      <c r="N146" s="72" t="s">
        <v>822</v>
      </c>
    </row>
    <row r="147" spans="1:14" ht="34" customHeight="1" x14ac:dyDescent="0.2">
      <c r="A147" s="39" t="s">
        <v>566</v>
      </c>
      <c r="B147" s="39" t="s">
        <v>561</v>
      </c>
      <c r="C147" s="48" t="s">
        <v>591</v>
      </c>
      <c r="D147" s="49" t="s">
        <v>594</v>
      </c>
      <c r="E147" s="49" t="s">
        <v>325</v>
      </c>
      <c r="F147" s="49" t="s">
        <v>564</v>
      </c>
      <c r="G147" s="49"/>
      <c r="H147" s="49"/>
      <c r="I147" s="49"/>
      <c r="J147" s="49" t="s">
        <v>604</v>
      </c>
      <c r="K147" s="49"/>
      <c r="L147" s="49" t="s">
        <v>605</v>
      </c>
      <c r="M147" s="49"/>
      <c r="N147" s="49" t="s">
        <v>606</v>
      </c>
    </row>
    <row r="148" spans="1:14" ht="34" customHeight="1" x14ac:dyDescent="0.2">
      <c r="A148" s="39" t="s">
        <v>566</v>
      </c>
      <c r="B148" s="39" t="s">
        <v>561</v>
      </c>
      <c r="C148" s="68" t="s">
        <v>591</v>
      </c>
      <c r="D148" s="67" t="s">
        <v>638</v>
      </c>
      <c r="E148" s="67" t="s">
        <v>329</v>
      </c>
      <c r="F148" s="67" t="s">
        <v>564</v>
      </c>
      <c r="G148" s="67"/>
      <c r="H148" s="67"/>
      <c r="I148" s="67"/>
      <c r="J148" s="67" t="s">
        <v>565</v>
      </c>
      <c r="K148" s="67"/>
      <c r="L148" s="67" t="s">
        <v>588</v>
      </c>
      <c r="M148" s="70" t="s">
        <v>618</v>
      </c>
      <c r="N148" s="67" t="s">
        <v>652</v>
      </c>
    </row>
    <row r="149" spans="1:14" ht="39" customHeight="1" x14ac:dyDescent="0.2">
      <c r="A149" s="39" t="s">
        <v>566</v>
      </c>
      <c r="B149" s="39" t="s">
        <v>561</v>
      </c>
      <c r="C149" s="68" t="s">
        <v>591</v>
      </c>
      <c r="D149" s="67" t="s">
        <v>638</v>
      </c>
      <c r="E149" s="67" t="s">
        <v>315</v>
      </c>
      <c r="F149" s="67" t="s">
        <v>564</v>
      </c>
      <c r="G149" s="67"/>
      <c r="H149" s="67"/>
      <c r="I149" s="67"/>
      <c r="J149" s="67" t="s">
        <v>592</v>
      </c>
      <c r="K149" s="67"/>
      <c r="L149" s="67" t="s">
        <v>604</v>
      </c>
      <c r="M149" s="67" t="s">
        <v>605</v>
      </c>
      <c r="N149" s="67" t="s">
        <v>654</v>
      </c>
    </row>
    <row r="150" spans="1:14" ht="51" customHeight="1" x14ac:dyDescent="0.2">
      <c r="A150" s="39" t="s">
        <v>566</v>
      </c>
      <c r="B150" s="39" t="s">
        <v>561</v>
      </c>
      <c r="C150" s="68" t="s">
        <v>591</v>
      </c>
      <c r="D150" s="67" t="s">
        <v>638</v>
      </c>
      <c r="E150" s="67" t="s">
        <v>327</v>
      </c>
      <c r="F150" s="67" t="s">
        <v>655</v>
      </c>
      <c r="G150" s="67"/>
      <c r="H150" s="67"/>
      <c r="I150" s="67"/>
      <c r="J150" s="67" t="s">
        <v>571</v>
      </c>
      <c r="K150" s="67"/>
      <c r="L150" s="67"/>
      <c r="M150" s="67"/>
      <c r="N150" s="67"/>
    </row>
    <row r="151" spans="1:14" ht="34" customHeight="1" x14ac:dyDescent="0.2">
      <c r="A151" s="39" t="s">
        <v>566</v>
      </c>
      <c r="B151" s="39" t="s">
        <v>561</v>
      </c>
      <c r="C151" s="68" t="s">
        <v>591</v>
      </c>
      <c r="D151" s="67" t="s">
        <v>638</v>
      </c>
      <c r="E151" s="67" t="s">
        <v>272</v>
      </c>
      <c r="F151" s="67" t="s">
        <v>564</v>
      </c>
      <c r="G151" s="67"/>
      <c r="H151" s="67"/>
      <c r="I151" s="67"/>
      <c r="J151" s="67" t="s">
        <v>605</v>
      </c>
      <c r="K151" s="67" t="s">
        <v>565</v>
      </c>
      <c r="L151" s="67" t="s">
        <v>571</v>
      </c>
      <c r="M151" s="67"/>
      <c r="N151" s="67" t="s">
        <v>651</v>
      </c>
    </row>
    <row r="152" spans="1:14" ht="34" customHeight="1" x14ac:dyDescent="0.2">
      <c r="A152" s="39" t="s">
        <v>566</v>
      </c>
      <c r="B152" s="39" t="s">
        <v>664</v>
      </c>
      <c r="C152" s="48" t="s">
        <v>580</v>
      </c>
      <c r="D152" s="49" t="s">
        <v>594</v>
      </c>
      <c r="E152" s="49" t="s">
        <v>333</v>
      </c>
      <c r="F152" s="49" t="s">
        <v>564</v>
      </c>
      <c r="G152" s="49" t="s">
        <v>655</v>
      </c>
      <c r="H152" s="49"/>
      <c r="I152" s="49"/>
      <c r="J152" s="49" t="s">
        <v>586</v>
      </c>
      <c r="K152" s="49" t="s">
        <v>578</v>
      </c>
      <c r="L152" s="49"/>
      <c r="M152" s="49"/>
      <c r="N152" s="49"/>
    </row>
    <row r="153" spans="1:14" ht="34" customHeight="1" x14ac:dyDescent="0.2">
      <c r="A153" s="39" t="s">
        <v>566</v>
      </c>
      <c r="B153" s="39" t="s">
        <v>664</v>
      </c>
      <c r="C153" s="68" t="s">
        <v>591</v>
      </c>
      <c r="D153" s="67" t="s">
        <v>638</v>
      </c>
      <c r="E153" s="67" t="s">
        <v>305</v>
      </c>
      <c r="F153" s="67" t="s">
        <v>680</v>
      </c>
      <c r="G153" s="67"/>
      <c r="H153" s="67"/>
      <c r="I153" s="67"/>
      <c r="J153" s="67" t="s">
        <v>565</v>
      </c>
      <c r="K153" s="67"/>
      <c r="L153" s="67"/>
      <c r="M153" s="67"/>
      <c r="N153" s="67" t="s">
        <v>693</v>
      </c>
    </row>
    <row r="154" spans="1:14" ht="68" customHeight="1" x14ac:dyDescent="0.2">
      <c r="A154" s="39" t="s">
        <v>566</v>
      </c>
      <c r="B154" s="39" t="s">
        <v>664</v>
      </c>
      <c r="C154" s="68" t="s">
        <v>591</v>
      </c>
      <c r="D154" s="67" t="s">
        <v>638</v>
      </c>
      <c r="E154" s="67" t="s">
        <v>694</v>
      </c>
      <c r="F154" s="67" t="s">
        <v>690</v>
      </c>
      <c r="G154" s="67"/>
      <c r="H154" s="67"/>
      <c r="I154" s="67"/>
      <c r="J154" s="67" t="s">
        <v>586</v>
      </c>
      <c r="K154" s="67"/>
      <c r="L154" s="67"/>
      <c r="M154" s="67"/>
      <c r="N154" s="67" t="s">
        <v>695</v>
      </c>
    </row>
    <row r="155" spans="1:14" ht="34" customHeight="1" x14ac:dyDescent="0.2">
      <c r="A155" s="39" t="s">
        <v>566</v>
      </c>
      <c r="B155" s="39" t="s">
        <v>664</v>
      </c>
      <c r="C155" s="68" t="s">
        <v>591</v>
      </c>
      <c r="D155" s="67" t="s">
        <v>638</v>
      </c>
      <c r="E155" s="67" t="s">
        <v>313</v>
      </c>
      <c r="F155" s="67" t="s">
        <v>564</v>
      </c>
      <c r="G155" s="67" t="s">
        <v>630</v>
      </c>
      <c r="H155" s="67"/>
      <c r="I155" s="67"/>
      <c r="J155" s="67" t="s">
        <v>586</v>
      </c>
      <c r="K155" s="67"/>
      <c r="L155" s="67" t="s">
        <v>588</v>
      </c>
      <c r="M155" s="67" t="s">
        <v>605</v>
      </c>
      <c r="N155" s="67" t="s">
        <v>696</v>
      </c>
    </row>
    <row r="156" spans="1:14" ht="34" customHeight="1" x14ac:dyDescent="0.2">
      <c r="A156" s="39" t="s">
        <v>566</v>
      </c>
      <c r="B156" s="39" t="s">
        <v>664</v>
      </c>
      <c r="C156" s="68" t="s">
        <v>591</v>
      </c>
      <c r="D156" s="67" t="s">
        <v>638</v>
      </c>
      <c r="E156" s="67" t="s">
        <v>311</v>
      </c>
      <c r="F156" s="67" t="s">
        <v>564</v>
      </c>
      <c r="G156" s="67" t="s">
        <v>630</v>
      </c>
      <c r="H156" s="67"/>
      <c r="I156" s="67"/>
      <c r="J156" s="67" t="s">
        <v>565</v>
      </c>
      <c r="K156" s="67" t="s">
        <v>599</v>
      </c>
      <c r="L156" s="67" t="s">
        <v>578</v>
      </c>
      <c r="M156" s="67"/>
      <c r="N156" s="67" t="s">
        <v>697</v>
      </c>
    </row>
    <row r="157" spans="1:14" ht="34" customHeight="1" x14ac:dyDescent="0.2">
      <c r="A157" s="39" t="s">
        <v>566</v>
      </c>
      <c r="B157" s="39" t="s">
        <v>664</v>
      </c>
      <c r="C157" s="71" t="s">
        <v>581</v>
      </c>
      <c r="D157" s="72" t="s">
        <v>660</v>
      </c>
      <c r="E157" s="72" t="s">
        <v>344</v>
      </c>
      <c r="F157" s="72" t="s">
        <v>595</v>
      </c>
      <c r="G157" s="72" t="s">
        <v>585</v>
      </c>
      <c r="H157" s="72" t="s">
        <v>564</v>
      </c>
      <c r="I157" s="72"/>
      <c r="J157" s="72" t="s">
        <v>578</v>
      </c>
      <c r="K157" s="72"/>
      <c r="L157" s="72" t="s">
        <v>605</v>
      </c>
      <c r="M157" s="72"/>
      <c r="N157" s="72" t="s">
        <v>699</v>
      </c>
    </row>
    <row r="158" spans="1:14" ht="34" customHeight="1" x14ac:dyDescent="0.2">
      <c r="A158" s="39" t="s">
        <v>566</v>
      </c>
      <c r="B158" s="39" t="s">
        <v>759</v>
      </c>
      <c r="C158" s="68" t="s">
        <v>581</v>
      </c>
      <c r="D158" s="67" t="s">
        <v>638</v>
      </c>
      <c r="E158" s="67" t="s">
        <v>307</v>
      </c>
      <c r="F158" s="67" t="s">
        <v>666</v>
      </c>
      <c r="G158" s="67" t="s">
        <v>743</v>
      </c>
      <c r="H158" s="67"/>
      <c r="I158" s="67"/>
      <c r="J158" s="67" t="s">
        <v>571</v>
      </c>
      <c r="K158" s="70" t="s">
        <v>586</v>
      </c>
      <c r="L158" s="67" t="s">
        <v>592</v>
      </c>
      <c r="M158" s="67" t="s">
        <v>567</v>
      </c>
      <c r="N158" s="67" t="s">
        <v>794</v>
      </c>
    </row>
    <row r="159" spans="1:14" ht="51" x14ac:dyDescent="0.2">
      <c r="A159" s="39" t="s">
        <v>566</v>
      </c>
      <c r="B159" s="39" t="s">
        <v>759</v>
      </c>
      <c r="C159" s="68" t="s">
        <v>591</v>
      </c>
      <c r="D159" s="67" t="s">
        <v>638</v>
      </c>
      <c r="E159" s="67" t="s">
        <v>317</v>
      </c>
      <c r="F159" s="67" t="s">
        <v>564</v>
      </c>
      <c r="G159" s="67" t="s">
        <v>623</v>
      </c>
      <c r="H159" s="67"/>
      <c r="I159" s="67"/>
      <c r="J159" s="67" t="s">
        <v>565</v>
      </c>
      <c r="K159" s="67"/>
      <c r="L159" s="67" t="s">
        <v>592</v>
      </c>
      <c r="M159" s="67" t="s">
        <v>605</v>
      </c>
      <c r="N159" s="67" t="s">
        <v>801</v>
      </c>
    </row>
    <row r="160" spans="1:14" ht="51" x14ac:dyDescent="0.2">
      <c r="A160" s="39" t="s">
        <v>566</v>
      </c>
      <c r="B160" s="39" t="s">
        <v>759</v>
      </c>
      <c r="C160" s="71" t="s">
        <v>581</v>
      </c>
      <c r="D160" s="72" t="s">
        <v>660</v>
      </c>
      <c r="E160" s="72" t="s">
        <v>342</v>
      </c>
      <c r="F160" s="72" t="s">
        <v>564</v>
      </c>
      <c r="G160" s="72"/>
      <c r="H160" s="72"/>
      <c r="I160" s="72"/>
      <c r="J160" s="72"/>
      <c r="K160" s="72"/>
      <c r="L160" s="72"/>
      <c r="M160" s="72"/>
      <c r="N160" s="72"/>
    </row>
    <row r="161" spans="1:14" ht="34" customHeight="1" x14ac:dyDescent="0.2">
      <c r="A161" s="39" t="s">
        <v>566</v>
      </c>
      <c r="B161" s="39" t="s">
        <v>759</v>
      </c>
      <c r="C161" s="68" t="s">
        <v>591</v>
      </c>
      <c r="D161" s="67" t="s">
        <v>638</v>
      </c>
      <c r="E161" s="67" t="s">
        <v>294</v>
      </c>
      <c r="F161" s="67" t="s">
        <v>743</v>
      </c>
      <c r="G161" s="67"/>
      <c r="H161" s="67"/>
      <c r="I161" s="67"/>
      <c r="J161" s="67"/>
      <c r="K161" s="67"/>
      <c r="L161" s="67"/>
      <c r="M161" s="67"/>
      <c r="N161" s="67"/>
    </row>
    <row r="162" spans="1:14" ht="34" customHeight="1" x14ac:dyDescent="0.2">
      <c r="A162" s="39" t="s">
        <v>566</v>
      </c>
      <c r="B162" s="39" t="s">
        <v>759</v>
      </c>
      <c r="C162" s="68" t="s">
        <v>591</v>
      </c>
      <c r="D162" s="67" t="s">
        <v>638</v>
      </c>
      <c r="E162" s="67" t="s">
        <v>270</v>
      </c>
      <c r="F162" s="67" t="s">
        <v>798</v>
      </c>
      <c r="G162" s="67"/>
      <c r="H162" s="67"/>
      <c r="I162" s="67"/>
      <c r="J162" s="67" t="s">
        <v>571</v>
      </c>
      <c r="K162" s="67" t="s">
        <v>565</v>
      </c>
      <c r="L162" s="67" t="s">
        <v>578</v>
      </c>
      <c r="M162" s="67"/>
      <c r="N162" s="67" t="s">
        <v>799</v>
      </c>
    </row>
    <row r="163" spans="1:14" ht="34" x14ac:dyDescent="0.2">
      <c r="A163" s="39" t="s">
        <v>566</v>
      </c>
      <c r="B163" s="39" t="s">
        <v>664</v>
      </c>
      <c r="C163" s="68" t="s">
        <v>562</v>
      </c>
      <c r="D163" s="67" t="s">
        <v>638</v>
      </c>
      <c r="E163" s="67" t="s">
        <v>474</v>
      </c>
      <c r="F163" s="67" t="s">
        <v>690</v>
      </c>
      <c r="G163" s="67"/>
      <c r="H163" s="67"/>
      <c r="I163" s="67"/>
      <c r="J163" s="67" t="s">
        <v>571</v>
      </c>
      <c r="K163" s="67" t="s">
        <v>565</v>
      </c>
      <c r="L163" s="67" t="s">
        <v>578</v>
      </c>
      <c r="M163" s="67"/>
      <c r="N163" s="67" t="s">
        <v>691</v>
      </c>
    </row>
    <row r="164" spans="1:14" ht="34" x14ac:dyDescent="0.2">
      <c r="A164" s="39" t="s">
        <v>566</v>
      </c>
      <c r="B164" s="39" t="s">
        <v>664</v>
      </c>
      <c r="C164" s="68" t="s">
        <v>580</v>
      </c>
      <c r="D164" s="67" t="s">
        <v>638</v>
      </c>
      <c r="E164" s="67" t="s">
        <v>498</v>
      </c>
      <c r="F164" s="69" t="s">
        <v>670</v>
      </c>
      <c r="G164" s="67"/>
      <c r="H164" s="67"/>
      <c r="I164" s="67"/>
      <c r="J164" s="67" t="s">
        <v>571</v>
      </c>
      <c r="K164" s="67" t="s">
        <v>567</v>
      </c>
      <c r="L164" s="67"/>
      <c r="M164" s="67"/>
      <c r="N164" s="67" t="s">
        <v>692</v>
      </c>
    </row>
    <row r="165" spans="1:14" ht="51" customHeight="1" x14ac:dyDescent="0.2">
      <c r="A165" s="39" t="s">
        <v>566</v>
      </c>
      <c r="B165" s="39" t="s">
        <v>664</v>
      </c>
      <c r="C165" s="54" t="s">
        <v>581</v>
      </c>
      <c r="D165" s="53" t="s">
        <v>608</v>
      </c>
      <c r="E165" s="53" t="s">
        <v>521</v>
      </c>
      <c r="F165" s="53" t="s">
        <v>595</v>
      </c>
      <c r="G165" s="53" t="s">
        <v>569</v>
      </c>
      <c r="H165" s="53"/>
      <c r="I165" s="53"/>
      <c r="J165" s="53" t="s">
        <v>586</v>
      </c>
      <c r="K165" s="53"/>
      <c r="L165" s="53" t="s">
        <v>583</v>
      </c>
      <c r="M165" s="53" t="s">
        <v>588</v>
      </c>
      <c r="N165" s="53" t="s">
        <v>685</v>
      </c>
    </row>
    <row r="166" spans="1:14" ht="34" customHeight="1" x14ac:dyDescent="0.2">
      <c r="A166" s="39" t="s">
        <v>566</v>
      </c>
      <c r="B166" s="39" t="s">
        <v>759</v>
      </c>
      <c r="C166" s="42" t="s">
        <v>581</v>
      </c>
      <c r="D166" s="41" t="s">
        <v>563</v>
      </c>
      <c r="E166" s="41" t="s">
        <v>480</v>
      </c>
      <c r="F166" s="41" t="s">
        <v>766</v>
      </c>
      <c r="G166" s="41"/>
      <c r="H166" s="41"/>
      <c r="I166" s="41"/>
      <c r="J166" s="41" t="s">
        <v>578</v>
      </c>
      <c r="K166" s="41" t="s">
        <v>571</v>
      </c>
      <c r="L166" s="41"/>
      <c r="M166" s="41"/>
      <c r="N166" s="41" t="s">
        <v>767</v>
      </c>
    </row>
    <row r="167" spans="1:14" ht="51" customHeight="1" x14ac:dyDescent="0.2">
      <c r="A167" s="39" t="s">
        <v>566</v>
      </c>
      <c r="B167" s="39" t="s">
        <v>759</v>
      </c>
      <c r="C167" s="48" t="s">
        <v>580</v>
      </c>
      <c r="D167" s="49" t="s">
        <v>594</v>
      </c>
      <c r="E167" s="49" t="s">
        <v>488</v>
      </c>
      <c r="F167" s="49" t="s">
        <v>771</v>
      </c>
      <c r="G167" s="49" t="s">
        <v>623</v>
      </c>
      <c r="H167" s="49"/>
      <c r="I167" s="49"/>
      <c r="J167" s="49" t="s">
        <v>578</v>
      </c>
      <c r="K167" s="49"/>
      <c r="L167" s="49" t="s">
        <v>605</v>
      </c>
      <c r="M167" s="49"/>
      <c r="N167" s="49"/>
    </row>
    <row r="168" spans="1:14" ht="34" x14ac:dyDescent="0.2">
      <c r="A168" s="39" t="s">
        <v>566</v>
      </c>
      <c r="B168" s="39" t="s">
        <v>759</v>
      </c>
      <c r="C168" s="68" t="s">
        <v>591</v>
      </c>
      <c r="D168" s="67" t="s">
        <v>638</v>
      </c>
      <c r="E168" s="67" t="s">
        <v>490</v>
      </c>
      <c r="F168" s="67" t="s">
        <v>564</v>
      </c>
      <c r="G168" s="67" t="s">
        <v>595</v>
      </c>
      <c r="H168" s="67" t="s">
        <v>623</v>
      </c>
      <c r="I168" s="67"/>
      <c r="J168" s="67" t="s">
        <v>567</v>
      </c>
      <c r="K168" s="70" t="s">
        <v>571</v>
      </c>
      <c r="L168" s="67"/>
      <c r="M168" s="67"/>
      <c r="N168" s="67" t="s">
        <v>800</v>
      </c>
    </row>
    <row r="169" spans="1:14" ht="51" x14ac:dyDescent="0.2">
      <c r="A169" s="39" t="s">
        <v>566</v>
      </c>
      <c r="B169" s="39" t="s">
        <v>759</v>
      </c>
      <c r="C169" s="68" t="s">
        <v>562</v>
      </c>
      <c r="D169" s="67" t="s">
        <v>638</v>
      </c>
      <c r="E169" s="67" t="s">
        <v>515</v>
      </c>
      <c r="F169" s="67" t="s">
        <v>792</v>
      </c>
      <c r="G169" s="67"/>
      <c r="H169" s="67"/>
      <c r="I169" s="67"/>
      <c r="J169" s="67"/>
      <c r="K169" s="67"/>
      <c r="L169" s="67"/>
      <c r="M169" s="67"/>
      <c r="N169" s="67"/>
    </row>
    <row r="170" spans="1:14" ht="34" x14ac:dyDescent="0.2">
      <c r="A170" s="39" t="s">
        <v>566</v>
      </c>
      <c r="B170" s="39" t="s">
        <v>561</v>
      </c>
      <c r="C170" s="68" t="s">
        <v>580</v>
      </c>
      <c r="D170" s="67" t="s">
        <v>638</v>
      </c>
      <c r="E170" s="67" t="s">
        <v>130</v>
      </c>
      <c r="F170" s="67" t="s">
        <v>564</v>
      </c>
      <c r="G170" s="67"/>
      <c r="H170" s="67"/>
      <c r="I170" s="67"/>
      <c r="J170" s="67" t="s">
        <v>588</v>
      </c>
      <c r="K170" s="67"/>
      <c r="L170" s="67"/>
      <c r="M170" s="67"/>
      <c r="N170" s="67"/>
    </row>
    <row r="171" spans="1:14" ht="34" customHeight="1" x14ac:dyDescent="0.2">
      <c r="A171" s="39" t="s">
        <v>566</v>
      </c>
      <c r="B171" s="39" t="s">
        <v>561</v>
      </c>
      <c r="C171" s="68" t="s">
        <v>580</v>
      </c>
      <c r="D171" s="67" t="s">
        <v>638</v>
      </c>
      <c r="E171" s="67" t="s">
        <v>243</v>
      </c>
      <c r="F171" s="67" t="s">
        <v>564</v>
      </c>
      <c r="G171" s="67"/>
      <c r="H171" s="67"/>
      <c r="I171" s="67"/>
      <c r="J171" s="67" t="s">
        <v>586</v>
      </c>
      <c r="K171" s="67"/>
      <c r="L171" s="67" t="s">
        <v>583</v>
      </c>
      <c r="M171" s="67"/>
      <c r="N171" s="67" t="s">
        <v>641</v>
      </c>
    </row>
    <row r="172" spans="1:14" ht="34" x14ac:dyDescent="0.2">
      <c r="A172" s="39" t="s">
        <v>566</v>
      </c>
      <c r="B172" s="39" t="s">
        <v>561</v>
      </c>
      <c r="C172" s="68" t="s">
        <v>591</v>
      </c>
      <c r="D172" s="67" t="s">
        <v>638</v>
      </c>
      <c r="E172" s="67" t="s">
        <v>243</v>
      </c>
      <c r="F172" s="67" t="s">
        <v>564</v>
      </c>
      <c r="G172" s="67"/>
      <c r="H172" s="67"/>
      <c r="I172" s="67"/>
      <c r="J172" s="67" t="s">
        <v>565</v>
      </c>
      <c r="K172" s="67"/>
      <c r="L172" s="67" t="s">
        <v>583</v>
      </c>
      <c r="M172" s="70" t="s">
        <v>599</v>
      </c>
      <c r="N172" s="67" t="s">
        <v>653</v>
      </c>
    </row>
    <row r="173" spans="1:14" ht="68" x14ac:dyDescent="0.2">
      <c r="A173" s="39" t="s">
        <v>566</v>
      </c>
      <c r="B173" s="39" t="s">
        <v>561</v>
      </c>
      <c r="C173" s="54" t="s">
        <v>580</v>
      </c>
      <c r="D173" s="53" t="s">
        <v>608</v>
      </c>
      <c r="E173" s="53" t="s">
        <v>158</v>
      </c>
      <c r="F173" s="53" t="s">
        <v>609</v>
      </c>
      <c r="G173" s="53"/>
      <c r="H173" s="53"/>
      <c r="I173" s="53"/>
      <c r="J173" s="53" t="s">
        <v>588</v>
      </c>
      <c r="K173" s="53" t="s">
        <v>565</v>
      </c>
      <c r="L173" s="53" t="s">
        <v>599</v>
      </c>
      <c r="M173" s="55" t="s">
        <v>578</v>
      </c>
      <c r="N173" s="53" t="s">
        <v>613</v>
      </c>
    </row>
    <row r="174" spans="1:14" ht="34" x14ac:dyDescent="0.2">
      <c r="A174" s="39" t="s">
        <v>566</v>
      </c>
      <c r="B174" s="39" t="s">
        <v>561</v>
      </c>
      <c r="C174" s="54" t="s">
        <v>580</v>
      </c>
      <c r="D174" s="53" t="s">
        <v>608</v>
      </c>
      <c r="E174" s="53" t="s">
        <v>161</v>
      </c>
      <c r="F174" s="53" t="s">
        <v>614</v>
      </c>
      <c r="G174" s="53" t="s">
        <v>615</v>
      </c>
      <c r="H174" s="53" t="s">
        <v>616</v>
      </c>
      <c r="I174" s="53" t="s">
        <v>617</v>
      </c>
      <c r="J174" s="53" t="s">
        <v>588</v>
      </c>
      <c r="K174" s="53"/>
      <c r="L174" s="53" t="s">
        <v>588</v>
      </c>
      <c r="M174" s="55" t="s">
        <v>618</v>
      </c>
      <c r="N174" s="53" t="s">
        <v>619</v>
      </c>
    </row>
    <row r="175" spans="1:14" ht="85" customHeight="1" x14ac:dyDescent="0.2">
      <c r="A175" s="39" t="s">
        <v>566</v>
      </c>
      <c r="B175" s="39" t="s">
        <v>561</v>
      </c>
      <c r="C175" s="54" t="s">
        <v>580</v>
      </c>
      <c r="D175" s="53" t="s">
        <v>608</v>
      </c>
      <c r="E175" s="53" t="s">
        <v>170</v>
      </c>
      <c r="F175" s="53" t="s">
        <v>614</v>
      </c>
      <c r="G175" s="53"/>
      <c r="H175" s="53"/>
      <c r="I175" s="53"/>
      <c r="J175" s="53" t="s">
        <v>565</v>
      </c>
      <c r="K175" s="53"/>
      <c r="L175" s="53" t="s">
        <v>602</v>
      </c>
      <c r="M175" s="53" t="s">
        <v>567</v>
      </c>
      <c r="N175" s="53" t="s">
        <v>620</v>
      </c>
    </row>
    <row r="176" spans="1:14" ht="51" customHeight="1" x14ac:dyDescent="0.2">
      <c r="A176" s="39" t="s">
        <v>566</v>
      </c>
      <c r="B176" s="39" t="s">
        <v>664</v>
      </c>
      <c r="C176" s="48" t="s">
        <v>580</v>
      </c>
      <c r="D176" s="49" t="s">
        <v>594</v>
      </c>
      <c r="E176" s="98" t="s">
        <v>150</v>
      </c>
      <c r="F176" s="49" t="s">
        <v>564</v>
      </c>
      <c r="G176" s="49"/>
      <c r="H176" s="49"/>
      <c r="I176" s="49"/>
      <c r="J176" s="49" t="s">
        <v>565</v>
      </c>
      <c r="K176" s="49"/>
      <c r="L176" s="49"/>
      <c r="M176" s="49"/>
      <c r="N176" s="49"/>
    </row>
    <row r="177" spans="1:14" ht="34" customHeight="1" x14ac:dyDescent="0.2">
      <c r="A177" s="39" t="s">
        <v>566</v>
      </c>
      <c r="B177" s="39" t="s">
        <v>664</v>
      </c>
      <c r="C177" s="48" t="s">
        <v>580</v>
      </c>
      <c r="D177" s="49" t="s">
        <v>594</v>
      </c>
      <c r="E177" s="49" t="s">
        <v>146</v>
      </c>
      <c r="F177" s="74" t="s">
        <v>670</v>
      </c>
      <c r="G177" s="49"/>
      <c r="H177" s="49"/>
      <c r="I177" s="49"/>
      <c r="J177" s="49" t="s">
        <v>588</v>
      </c>
      <c r="K177" s="49" t="s">
        <v>592</v>
      </c>
      <c r="L177" s="49"/>
      <c r="M177" s="49"/>
      <c r="N177" s="49" t="s">
        <v>671</v>
      </c>
    </row>
    <row r="178" spans="1:14" ht="51" customHeight="1" x14ac:dyDescent="0.2">
      <c r="A178" s="39" t="s">
        <v>566</v>
      </c>
      <c r="B178" s="39" t="s">
        <v>664</v>
      </c>
      <c r="C178" s="48" t="s">
        <v>591</v>
      </c>
      <c r="D178" s="49" t="s">
        <v>594</v>
      </c>
      <c r="E178" s="98" t="s">
        <v>148</v>
      </c>
      <c r="F178" s="49" t="s">
        <v>680</v>
      </c>
      <c r="G178" s="49"/>
      <c r="H178" s="49"/>
      <c r="I178" s="49"/>
      <c r="J178" s="49" t="s">
        <v>604</v>
      </c>
      <c r="K178" s="49"/>
      <c r="L178" s="49"/>
      <c r="M178" s="49"/>
      <c r="N178" s="49" t="s">
        <v>681</v>
      </c>
    </row>
    <row r="179" spans="1:14" ht="34" customHeight="1" x14ac:dyDescent="0.2">
      <c r="A179" s="39" t="s">
        <v>566</v>
      </c>
      <c r="B179" s="39" t="s">
        <v>664</v>
      </c>
      <c r="C179" s="54" t="s">
        <v>580</v>
      </c>
      <c r="D179" s="53" t="s">
        <v>608</v>
      </c>
      <c r="E179" s="53" t="s">
        <v>134</v>
      </c>
      <c r="F179" s="53" t="s">
        <v>564</v>
      </c>
      <c r="G179" s="53" t="s">
        <v>615</v>
      </c>
      <c r="H179" s="53"/>
      <c r="I179" s="53"/>
      <c r="J179" s="53" t="s">
        <v>567</v>
      </c>
      <c r="K179" s="53" t="s">
        <v>588</v>
      </c>
      <c r="L179" s="53"/>
      <c r="M179" s="53"/>
      <c r="N179" s="53"/>
    </row>
    <row r="180" spans="1:14" ht="51" customHeight="1" x14ac:dyDescent="0.2">
      <c r="A180" s="39" t="s">
        <v>566</v>
      </c>
      <c r="B180" s="39" t="s">
        <v>664</v>
      </c>
      <c r="C180" s="71" t="s">
        <v>591</v>
      </c>
      <c r="D180" s="72" t="s">
        <v>660</v>
      </c>
      <c r="E180" s="97" t="s">
        <v>140</v>
      </c>
      <c r="F180" s="72" t="s">
        <v>564</v>
      </c>
      <c r="G180" s="72"/>
      <c r="H180" s="72"/>
      <c r="I180" s="72"/>
      <c r="J180" s="72" t="s">
        <v>622</v>
      </c>
      <c r="K180" s="72" t="s">
        <v>599</v>
      </c>
      <c r="L180" s="72" t="s">
        <v>578</v>
      </c>
      <c r="M180" s="97" t="s">
        <v>574</v>
      </c>
      <c r="N180" s="72" t="s">
        <v>700</v>
      </c>
    </row>
    <row r="181" spans="1:14" ht="51" customHeight="1" x14ac:dyDescent="0.2">
      <c r="A181" s="39" t="s">
        <v>566</v>
      </c>
      <c r="B181" s="39" t="s">
        <v>664</v>
      </c>
      <c r="C181" s="54" t="s">
        <v>580</v>
      </c>
      <c r="D181" s="53" t="s">
        <v>608</v>
      </c>
      <c r="E181" s="53" t="s">
        <v>241</v>
      </c>
      <c r="F181" s="53" t="s">
        <v>684</v>
      </c>
      <c r="G181" s="53"/>
      <c r="H181" s="53"/>
      <c r="I181" s="53"/>
      <c r="J181" s="53"/>
      <c r="K181" s="53"/>
      <c r="L181" s="276" t="s">
        <v>605</v>
      </c>
      <c r="M181" s="53"/>
      <c r="N181" s="53"/>
    </row>
    <row r="182" spans="1:14" ht="34" x14ac:dyDescent="0.2">
      <c r="A182" s="39" t="s">
        <v>566</v>
      </c>
      <c r="B182" s="39" t="s">
        <v>759</v>
      </c>
      <c r="C182" s="68" t="s">
        <v>580</v>
      </c>
      <c r="D182" s="67" t="s">
        <v>638</v>
      </c>
      <c r="E182" s="67" t="s">
        <v>142</v>
      </c>
      <c r="F182" s="67" t="s">
        <v>564</v>
      </c>
      <c r="G182" s="67" t="s">
        <v>569</v>
      </c>
      <c r="H182" s="67"/>
      <c r="I182" s="67"/>
      <c r="J182" s="67" t="s">
        <v>565</v>
      </c>
      <c r="K182" s="67" t="s">
        <v>588</v>
      </c>
      <c r="L182" s="67" t="s">
        <v>605</v>
      </c>
      <c r="M182" s="67"/>
      <c r="N182" s="67" t="s">
        <v>793</v>
      </c>
    </row>
    <row r="183" spans="1:14" ht="51" x14ac:dyDescent="0.2">
      <c r="A183" s="39" t="s">
        <v>566</v>
      </c>
      <c r="B183" s="39" t="s">
        <v>759</v>
      </c>
      <c r="C183" s="68" t="s">
        <v>580</v>
      </c>
      <c r="D183" s="67" t="s">
        <v>638</v>
      </c>
      <c r="E183" s="67" t="s">
        <v>237</v>
      </c>
      <c r="F183" s="67" t="s">
        <v>716</v>
      </c>
      <c r="G183" s="67"/>
      <c r="H183" s="67"/>
      <c r="I183" s="67"/>
      <c r="J183" s="88" t="s">
        <v>604</v>
      </c>
      <c r="K183" s="88" t="s">
        <v>592</v>
      </c>
      <c r="L183" s="67"/>
      <c r="M183" s="67"/>
      <c r="N183" s="67"/>
    </row>
    <row r="184" spans="1:14" ht="34" x14ac:dyDescent="0.2">
      <c r="A184" s="39" t="s">
        <v>566</v>
      </c>
      <c r="B184" s="39" t="s">
        <v>759</v>
      </c>
      <c r="C184" s="54" t="s">
        <v>580</v>
      </c>
      <c r="D184" s="53" t="s">
        <v>608</v>
      </c>
      <c r="E184" s="53" t="s">
        <v>190</v>
      </c>
      <c r="F184" s="53" t="s">
        <v>780</v>
      </c>
      <c r="G184" s="53" t="s">
        <v>609</v>
      </c>
      <c r="H184" s="53"/>
      <c r="I184" s="53"/>
      <c r="J184" s="53" t="s">
        <v>586</v>
      </c>
      <c r="K184" s="53" t="s">
        <v>588</v>
      </c>
      <c r="L184" s="276" t="s">
        <v>618</v>
      </c>
      <c r="M184" s="53"/>
      <c r="N184" s="53"/>
    </row>
    <row r="185" spans="1:14" ht="34" x14ac:dyDescent="0.2">
      <c r="A185" s="39" t="s">
        <v>566</v>
      </c>
      <c r="B185" s="39" t="s">
        <v>759</v>
      </c>
      <c r="C185" s="54" t="s">
        <v>580</v>
      </c>
      <c r="D185" s="53" t="s">
        <v>608</v>
      </c>
      <c r="E185" s="53" t="s">
        <v>192</v>
      </c>
      <c r="F185" s="53" t="s">
        <v>780</v>
      </c>
      <c r="G185" s="53"/>
      <c r="H185" s="53"/>
      <c r="I185" s="53"/>
      <c r="J185" s="53" t="s">
        <v>588</v>
      </c>
      <c r="K185" s="53"/>
      <c r="L185" s="53" t="s">
        <v>677</v>
      </c>
      <c r="M185" s="53" t="s">
        <v>618</v>
      </c>
      <c r="N185" s="53"/>
    </row>
    <row r="186" spans="1:14" ht="51" customHeight="1" x14ac:dyDescent="0.2">
      <c r="A186" s="39" t="s">
        <v>566</v>
      </c>
      <c r="B186" s="39" t="s">
        <v>759</v>
      </c>
      <c r="C186" s="54" t="s">
        <v>580</v>
      </c>
      <c r="D186" s="53" t="s">
        <v>608</v>
      </c>
      <c r="E186" s="53" t="s">
        <v>163</v>
      </c>
      <c r="F186" s="53" t="s">
        <v>616</v>
      </c>
      <c r="G186" s="53" t="s">
        <v>614</v>
      </c>
      <c r="H186" s="53" t="s">
        <v>781</v>
      </c>
      <c r="I186" s="53" t="s">
        <v>617</v>
      </c>
      <c r="J186" s="53" t="s">
        <v>588</v>
      </c>
      <c r="K186" s="55" t="s">
        <v>565</v>
      </c>
      <c r="L186" s="53" t="s">
        <v>588</v>
      </c>
      <c r="M186" s="53"/>
      <c r="N186" s="53" t="s">
        <v>782</v>
      </c>
    </row>
    <row r="187" spans="1:14" ht="34" x14ac:dyDescent="0.2">
      <c r="A187" s="39" t="s">
        <v>566</v>
      </c>
      <c r="B187" s="39" t="s">
        <v>561</v>
      </c>
      <c r="C187" s="58" t="s">
        <v>562</v>
      </c>
      <c r="D187" s="59" t="s">
        <v>625</v>
      </c>
      <c r="E187" s="59" t="s">
        <v>38</v>
      </c>
      <c r="F187" s="59" t="s">
        <v>564</v>
      </c>
      <c r="G187" s="59"/>
      <c r="H187" s="59"/>
      <c r="I187" s="59"/>
      <c r="J187" s="59" t="s">
        <v>599</v>
      </c>
      <c r="K187" s="59" t="s">
        <v>567</v>
      </c>
      <c r="L187" s="59" t="s">
        <v>605</v>
      </c>
      <c r="M187" s="59"/>
      <c r="N187" s="59"/>
    </row>
    <row r="188" spans="1:14" ht="34" x14ac:dyDescent="0.2">
      <c r="A188" s="39" t="s">
        <v>566</v>
      </c>
      <c r="B188" s="39" t="s">
        <v>561</v>
      </c>
      <c r="C188" s="58" t="s">
        <v>562</v>
      </c>
      <c r="D188" s="59" t="s">
        <v>625</v>
      </c>
      <c r="E188" s="59" t="s">
        <v>4</v>
      </c>
      <c r="F188" s="59" t="s">
        <v>564</v>
      </c>
      <c r="G188" s="59" t="s">
        <v>595</v>
      </c>
      <c r="H188" s="59"/>
      <c r="I188" s="59"/>
      <c r="J188" s="59" t="s">
        <v>565</v>
      </c>
      <c r="K188" s="59" t="s">
        <v>567</v>
      </c>
      <c r="L188" s="59"/>
      <c r="M188" s="59"/>
      <c r="N188" s="59"/>
    </row>
    <row r="189" spans="1:14" ht="34" x14ac:dyDescent="0.2">
      <c r="A189" s="39" t="s">
        <v>566</v>
      </c>
      <c r="B189" s="39" t="s">
        <v>561</v>
      </c>
      <c r="C189" s="58" t="s">
        <v>562</v>
      </c>
      <c r="D189" s="59" t="s">
        <v>625</v>
      </c>
      <c r="E189" s="59" t="s">
        <v>110</v>
      </c>
      <c r="F189" s="59" t="s">
        <v>564</v>
      </c>
      <c r="G189" s="59"/>
      <c r="H189" s="59"/>
      <c r="I189" s="59"/>
      <c r="J189" s="59" t="s">
        <v>565</v>
      </c>
      <c r="K189" s="59"/>
      <c r="L189" s="59"/>
      <c r="M189" s="59"/>
      <c r="N189" s="59"/>
    </row>
    <row r="190" spans="1:14" ht="34" customHeight="1" x14ac:dyDescent="0.2">
      <c r="A190" s="61" t="s">
        <v>566</v>
      </c>
      <c r="B190" s="39" t="s">
        <v>561</v>
      </c>
      <c r="C190" s="58" t="s">
        <v>562</v>
      </c>
      <c r="D190" s="59" t="s">
        <v>625</v>
      </c>
      <c r="E190" s="59" t="s">
        <v>112</v>
      </c>
      <c r="F190" s="59" t="s">
        <v>564</v>
      </c>
      <c r="G190" s="59"/>
      <c r="H190" s="59"/>
      <c r="I190" s="59"/>
      <c r="J190" s="59" t="s">
        <v>565</v>
      </c>
      <c r="K190" s="59" t="s">
        <v>567</v>
      </c>
      <c r="L190" s="59" t="s">
        <v>583</v>
      </c>
      <c r="M190" s="59"/>
      <c r="N190" s="59" t="s">
        <v>631</v>
      </c>
    </row>
    <row r="191" spans="1:14" ht="34" x14ac:dyDescent="0.2">
      <c r="A191" s="39" t="s">
        <v>566</v>
      </c>
      <c r="B191" s="39" t="s">
        <v>561</v>
      </c>
      <c r="C191" s="58" t="s">
        <v>562</v>
      </c>
      <c r="D191" s="59" t="s">
        <v>625</v>
      </c>
      <c r="E191" s="59" t="s">
        <v>79</v>
      </c>
      <c r="F191" s="59" t="s">
        <v>564</v>
      </c>
      <c r="G191" s="59"/>
      <c r="H191" s="59"/>
      <c r="I191" s="59"/>
      <c r="J191" s="59" t="s">
        <v>565</v>
      </c>
      <c r="K191" s="59" t="s">
        <v>567</v>
      </c>
      <c r="L191" s="59"/>
      <c r="M191" s="59"/>
      <c r="N191" s="59"/>
    </row>
    <row r="192" spans="1:14" ht="51" customHeight="1" x14ac:dyDescent="0.2">
      <c r="A192" s="39" t="s">
        <v>566</v>
      </c>
      <c r="B192" s="39" t="s">
        <v>664</v>
      </c>
      <c r="C192" s="58" t="s">
        <v>562</v>
      </c>
      <c r="D192" s="59" t="s">
        <v>625</v>
      </c>
      <c r="E192" s="59" t="s">
        <v>40</v>
      </c>
      <c r="F192" s="59" t="s">
        <v>564</v>
      </c>
      <c r="G192" s="59" t="s">
        <v>569</v>
      </c>
      <c r="H192" s="59" t="s">
        <v>585</v>
      </c>
      <c r="I192" s="59" t="s">
        <v>682</v>
      </c>
      <c r="J192" s="59" t="s">
        <v>592</v>
      </c>
      <c r="K192" s="59" t="s">
        <v>604</v>
      </c>
      <c r="L192" s="59" t="s">
        <v>605</v>
      </c>
      <c r="M192" s="59" t="s">
        <v>578</v>
      </c>
      <c r="N192" s="59" t="s">
        <v>689</v>
      </c>
    </row>
    <row r="193" spans="1:14" ht="85" x14ac:dyDescent="0.2">
      <c r="A193" s="39" t="s">
        <v>566</v>
      </c>
      <c r="B193" s="39" t="s">
        <v>664</v>
      </c>
      <c r="C193" s="58" t="s">
        <v>562</v>
      </c>
      <c r="D193" s="59" t="s">
        <v>625</v>
      </c>
      <c r="E193" s="59" t="s">
        <v>56</v>
      </c>
      <c r="F193" s="59" t="s">
        <v>564</v>
      </c>
      <c r="G193" s="59"/>
      <c r="H193" s="59"/>
      <c r="I193" s="59"/>
      <c r="J193" s="59" t="s">
        <v>605</v>
      </c>
      <c r="K193" s="65" t="s">
        <v>565</v>
      </c>
      <c r="L193" s="59" t="s">
        <v>604</v>
      </c>
      <c r="M193" s="59" t="s">
        <v>578</v>
      </c>
      <c r="N193" s="59" t="s">
        <v>686</v>
      </c>
    </row>
    <row r="194" spans="1:14" ht="51" x14ac:dyDescent="0.2">
      <c r="A194" s="39" t="s">
        <v>566</v>
      </c>
      <c r="B194" s="39" t="s">
        <v>664</v>
      </c>
      <c r="C194" s="71" t="s">
        <v>562</v>
      </c>
      <c r="D194" s="72" t="s">
        <v>660</v>
      </c>
      <c r="E194" s="72" t="s">
        <v>61</v>
      </c>
      <c r="F194" s="72" t="s">
        <v>680</v>
      </c>
      <c r="G194" s="72"/>
      <c r="H194" s="72"/>
      <c r="I194" s="72"/>
      <c r="J194" s="72" t="s">
        <v>605</v>
      </c>
      <c r="K194" s="72"/>
      <c r="L194" s="97" t="s">
        <v>574</v>
      </c>
      <c r="M194" s="72"/>
      <c r="N194" s="72" t="s">
        <v>698</v>
      </c>
    </row>
    <row r="195" spans="1:14" ht="51" x14ac:dyDescent="0.2">
      <c r="A195" s="39" t="s">
        <v>566</v>
      </c>
      <c r="B195" s="39" t="s">
        <v>664</v>
      </c>
      <c r="C195" s="58" t="s">
        <v>562</v>
      </c>
      <c r="D195" s="59" t="s">
        <v>625</v>
      </c>
      <c r="E195" s="59" t="s">
        <v>106</v>
      </c>
      <c r="F195" s="59" t="s">
        <v>564</v>
      </c>
      <c r="G195" s="59" t="s">
        <v>630</v>
      </c>
      <c r="H195" s="59"/>
      <c r="I195" s="59"/>
      <c r="J195" s="59"/>
      <c r="K195" s="59"/>
      <c r="L195" s="59" t="s">
        <v>602</v>
      </c>
      <c r="M195" s="59" t="s">
        <v>567</v>
      </c>
      <c r="N195" s="59" t="s">
        <v>687</v>
      </c>
    </row>
    <row r="196" spans="1:14" ht="34" x14ac:dyDescent="0.2">
      <c r="A196" s="39" t="s">
        <v>566</v>
      </c>
      <c r="B196" s="39" t="s">
        <v>664</v>
      </c>
      <c r="C196" s="58" t="s">
        <v>562</v>
      </c>
      <c r="D196" s="59" t="s">
        <v>625</v>
      </c>
      <c r="E196" s="59" t="s">
        <v>120</v>
      </c>
      <c r="F196" s="59" t="s">
        <v>680</v>
      </c>
      <c r="G196" s="59"/>
      <c r="H196" s="59"/>
      <c r="I196" s="59"/>
      <c r="J196" s="59" t="s">
        <v>565</v>
      </c>
      <c r="K196" s="59"/>
      <c r="L196" s="59" t="s">
        <v>567</v>
      </c>
      <c r="M196" s="59"/>
      <c r="N196" s="59" t="s">
        <v>688</v>
      </c>
    </row>
    <row r="197" spans="1:14" ht="68" customHeight="1" x14ac:dyDescent="0.2">
      <c r="A197" s="39" t="s">
        <v>566</v>
      </c>
      <c r="B197" s="39" t="s">
        <v>759</v>
      </c>
      <c r="C197" s="42" t="s">
        <v>562</v>
      </c>
      <c r="D197" s="41" t="s">
        <v>563</v>
      </c>
      <c r="E197" s="41" t="s">
        <v>44</v>
      </c>
      <c r="F197" s="41" t="s">
        <v>630</v>
      </c>
      <c r="G197" s="41" t="s">
        <v>760</v>
      </c>
      <c r="H197" s="41"/>
      <c r="I197" s="41"/>
      <c r="J197" s="41" t="s">
        <v>578</v>
      </c>
      <c r="K197" s="41" t="s">
        <v>567</v>
      </c>
      <c r="L197" s="41" t="s">
        <v>602</v>
      </c>
      <c r="M197" s="41"/>
      <c r="N197" s="41" t="s">
        <v>761</v>
      </c>
    </row>
    <row r="198" spans="1:14" ht="51" customHeight="1" x14ac:dyDescent="0.2">
      <c r="A198" s="39" t="s">
        <v>566</v>
      </c>
      <c r="B198" s="39" t="s">
        <v>759</v>
      </c>
      <c r="C198" s="68" t="s">
        <v>562</v>
      </c>
      <c r="D198" s="67" t="s">
        <v>638</v>
      </c>
      <c r="E198" s="67" t="s">
        <v>42</v>
      </c>
      <c r="F198" s="67" t="s">
        <v>595</v>
      </c>
      <c r="G198" s="67" t="s">
        <v>682</v>
      </c>
      <c r="H198" s="67"/>
      <c r="I198" s="67"/>
      <c r="J198" s="67" t="s">
        <v>578</v>
      </c>
      <c r="K198" s="67" t="s">
        <v>567</v>
      </c>
      <c r="L198" s="67" t="s">
        <v>602</v>
      </c>
      <c r="M198" s="67"/>
      <c r="N198" s="67" t="s">
        <v>761</v>
      </c>
    </row>
    <row r="199" spans="1:14" ht="68" customHeight="1" x14ac:dyDescent="0.2">
      <c r="A199" s="39" t="s">
        <v>566</v>
      </c>
      <c r="B199" s="39" t="s">
        <v>759</v>
      </c>
      <c r="C199" s="68" t="s">
        <v>562</v>
      </c>
      <c r="D199" s="67" t="s">
        <v>638</v>
      </c>
      <c r="E199" s="67" t="s">
        <v>52</v>
      </c>
      <c r="F199" s="67" t="s">
        <v>564</v>
      </c>
      <c r="G199" s="67"/>
      <c r="H199" s="67"/>
      <c r="I199" s="67"/>
      <c r="J199" s="67" t="s">
        <v>599</v>
      </c>
      <c r="K199" s="67"/>
      <c r="L199" s="67"/>
      <c r="M199" s="67"/>
      <c r="N199" s="67"/>
    </row>
    <row r="200" spans="1:14" ht="34" x14ac:dyDescent="0.2">
      <c r="A200" s="39" t="s">
        <v>566</v>
      </c>
      <c r="B200" s="39" t="s">
        <v>759</v>
      </c>
      <c r="C200" s="68" t="s">
        <v>562</v>
      </c>
      <c r="D200" s="67" t="s">
        <v>638</v>
      </c>
      <c r="E200" s="67" t="s">
        <v>22</v>
      </c>
      <c r="F200" s="67" t="s">
        <v>564</v>
      </c>
      <c r="G200" s="67"/>
      <c r="H200" s="67"/>
      <c r="I200" s="67"/>
      <c r="J200" s="67" t="s">
        <v>565</v>
      </c>
      <c r="K200" s="67"/>
      <c r="L200" s="67"/>
      <c r="M200" s="67"/>
      <c r="N200" s="67" t="s">
        <v>791</v>
      </c>
    </row>
    <row r="201" spans="1:14" ht="68" x14ac:dyDescent="0.2">
      <c r="A201" s="39" t="s">
        <v>566</v>
      </c>
      <c r="B201" s="39" t="s">
        <v>759</v>
      </c>
      <c r="C201" s="58" t="s">
        <v>562</v>
      </c>
      <c r="D201" s="59" t="s">
        <v>625</v>
      </c>
      <c r="E201" s="59" t="s">
        <v>82</v>
      </c>
      <c r="F201" s="59" t="s">
        <v>564</v>
      </c>
      <c r="G201" s="59"/>
      <c r="H201" s="59"/>
      <c r="I201" s="59"/>
      <c r="J201" s="59" t="s">
        <v>565</v>
      </c>
      <c r="K201" s="65" t="s">
        <v>605</v>
      </c>
      <c r="L201" s="59" t="s">
        <v>578</v>
      </c>
      <c r="M201" s="59" t="s">
        <v>604</v>
      </c>
      <c r="N201" s="59" t="s">
        <v>787</v>
      </c>
    </row>
    <row r="202" spans="1:14" ht="51" customHeight="1" x14ac:dyDescent="0.2">
      <c r="A202" s="39" t="s">
        <v>566</v>
      </c>
      <c r="B202" s="39" t="s">
        <v>759</v>
      </c>
      <c r="C202" s="58" t="s">
        <v>562</v>
      </c>
      <c r="D202" s="59" t="s">
        <v>625</v>
      </c>
      <c r="E202" s="59" t="s">
        <v>84</v>
      </c>
      <c r="F202" s="59" t="s">
        <v>564</v>
      </c>
      <c r="G202" s="59" t="s">
        <v>690</v>
      </c>
      <c r="H202" s="59"/>
      <c r="I202" s="59"/>
      <c r="J202" s="59" t="s">
        <v>567</v>
      </c>
      <c r="K202" s="65" t="s">
        <v>565</v>
      </c>
      <c r="L202" s="59" t="s">
        <v>677</v>
      </c>
      <c r="M202" s="59"/>
      <c r="N202" s="59" t="s">
        <v>788</v>
      </c>
    </row>
    <row r="203" spans="1:14" ht="51" customHeight="1" x14ac:dyDescent="0.2">
      <c r="A203" s="39" t="s">
        <v>566</v>
      </c>
      <c r="B203" s="39" t="s">
        <v>561</v>
      </c>
      <c r="C203" s="42" t="s">
        <v>562</v>
      </c>
      <c r="D203" s="41" t="s">
        <v>563</v>
      </c>
      <c r="E203" s="41" t="s">
        <v>456</v>
      </c>
      <c r="F203" s="41" t="s">
        <v>564</v>
      </c>
      <c r="G203" s="41"/>
      <c r="H203" s="41"/>
      <c r="I203" s="41"/>
      <c r="J203" s="41" t="s">
        <v>565</v>
      </c>
      <c r="K203" s="41" t="s">
        <v>567</v>
      </c>
      <c r="L203" s="41"/>
      <c r="M203" s="41"/>
      <c r="N203" s="41"/>
    </row>
    <row r="204" spans="1:14" ht="51" x14ac:dyDescent="0.2">
      <c r="A204" s="39" t="s">
        <v>566</v>
      </c>
      <c r="B204" s="39" t="s">
        <v>561</v>
      </c>
      <c r="C204" s="42" t="s">
        <v>591</v>
      </c>
      <c r="D204" s="41" t="s">
        <v>563</v>
      </c>
      <c r="E204" s="41" t="s">
        <v>448</v>
      </c>
      <c r="F204" s="41" t="s">
        <v>589</v>
      </c>
      <c r="G204" s="41"/>
      <c r="H204" s="41"/>
      <c r="I204" s="41"/>
      <c r="J204" s="41" t="s">
        <v>565</v>
      </c>
      <c r="K204" s="41" t="s">
        <v>592</v>
      </c>
      <c r="L204" s="41" t="s">
        <v>571</v>
      </c>
      <c r="M204" s="41"/>
      <c r="N204" s="41" t="s">
        <v>593</v>
      </c>
    </row>
    <row r="205" spans="1:14" ht="34" x14ac:dyDescent="0.2">
      <c r="A205" s="39" t="s">
        <v>566</v>
      </c>
      <c r="B205" s="39" t="s">
        <v>561</v>
      </c>
      <c r="C205" s="48" t="s">
        <v>580</v>
      </c>
      <c r="D205" s="49" t="s">
        <v>594</v>
      </c>
      <c r="E205" s="49" t="s">
        <v>472</v>
      </c>
      <c r="F205" s="49" t="s">
        <v>564</v>
      </c>
      <c r="G205" s="49"/>
      <c r="H205" s="49"/>
      <c r="I205" s="49"/>
      <c r="J205" s="49" t="s">
        <v>565</v>
      </c>
      <c r="K205" s="49" t="s">
        <v>586</v>
      </c>
      <c r="L205" s="49"/>
      <c r="M205" s="49"/>
      <c r="N205" s="49"/>
    </row>
    <row r="206" spans="1:14" ht="51" x14ac:dyDescent="0.2">
      <c r="A206" s="39" t="s">
        <v>566</v>
      </c>
      <c r="B206" s="39" t="s">
        <v>664</v>
      </c>
      <c r="C206" s="42" t="s">
        <v>581</v>
      </c>
      <c r="D206" s="41" t="s">
        <v>563</v>
      </c>
      <c r="E206" s="41" t="s">
        <v>458</v>
      </c>
      <c r="F206" s="41" t="s">
        <v>665</v>
      </c>
      <c r="G206" s="41" t="s">
        <v>585</v>
      </c>
      <c r="H206" s="41"/>
      <c r="I206" s="41"/>
      <c r="J206" s="41" t="s">
        <v>578</v>
      </c>
      <c r="K206" s="41"/>
      <c r="L206" s="41" t="s">
        <v>586</v>
      </c>
      <c r="M206" s="41"/>
      <c r="N206" s="41"/>
    </row>
    <row r="207" spans="1:14" ht="26" customHeight="1" x14ac:dyDescent="0.2">
      <c r="A207" s="39" t="s">
        <v>566</v>
      </c>
      <c r="B207" s="39" t="s">
        <v>664</v>
      </c>
      <c r="C207" s="42" t="s">
        <v>591</v>
      </c>
      <c r="D207" s="41" t="s">
        <v>563</v>
      </c>
      <c r="E207" s="41" t="s">
        <v>331</v>
      </c>
      <c r="F207" s="41" t="s">
        <v>564</v>
      </c>
      <c r="G207" s="41" t="s">
        <v>614</v>
      </c>
      <c r="H207" s="41" t="s">
        <v>666</v>
      </c>
      <c r="I207" s="41"/>
      <c r="J207" s="41" t="s">
        <v>588</v>
      </c>
      <c r="K207" s="45" t="s">
        <v>565</v>
      </c>
      <c r="L207" s="41" t="s">
        <v>571</v>
      </c>
      <c r="M207" s="41"/>
      <c r="N207" s="41" t="s">
        <v>667</v>
      </c>
    </row>
    <row r="208" spans="1:14" ht="34" x14ac:dyDescent="0.2">
      <c r="A208" s="39" t="s">
        <v>566</v>
      </c>
      <c r="B208" s="39" t="s">
        <v>664</v>
      </c>
      <c r="C208" s="42" t="s">
        <v>591</v>
      </c>
      <c r="D208" s="41" t="s">
        <v>563</v>
      </c>
      <c r="E208" s="41" t="s">
        <v>448</v>
      </c>
      <c r="F208" s="41" t="s">
        <v>666</v>
      </c>
      <c r="G208" s="41"/>
      <c r="H208" s="41"/>
      <c r="I208" s="41"/>
      <c r="J208" s="41" t="s">
        <v>583</v>
      </c>
      <c r="K208" s="41" t="s">
        <v>578</v>
      </c>
      <c r="L208" s="41"/>
      <c r="M208" s="41"/>
      <c r="N208" s="41"/>
    </row>
    <row r="209" spans="1:14" ht="68" x14ac:dyDescent="0.2">
      <c r="A209" s="39" t="s">
        <v>566</v>
      </c>
      <c r="B209" s="39" t="s">
        <v>664</v>
      </c>
      <c r="C209" s="42" t="s">
        <v>591</v>
      </c>
      <c r="D209" s="41" t="s">
        <v>563</v>
      </c>
      <c r="E209" s="41" t="s">
        <v>156</v>
      </c>
      <c r="F209" s="41" t="s">
        <v>668</v>
      </c>
      <c r="G209" s="41"/>
      <c r="H209" s="41"/>
      <c r="I209" s="41"/>
      <c r="J209" s="41" t="s">
        <v>602</v>
      </c>
      <c r="K209" s="41" t="s">
        <v>588</v>
      </c>
      <c r="L209" s="41"/>
      <c r="M209" s="41"/>
      <c r="N209" s="41" t="s">
        <v>669</v>
      </c>
    </row>
    <row r="210" spans="1:14" ht="34" customHeight="1" x14ac:dyDescent="0.2">
      <c r="A210" s="39" t="s">
        <v>566</v>
      </c>
      <c r="B210" s="39" t="s">
        <v>759</v>
      </c>
      <c r="C210" s="42" t="s">
        <v>580</v>
      </c>
      <c r="D210" s="41" t="s">
        <v>563</v>
      </c>
      <c r="E210" s="41" t="s">
        <v>504</v>
      </c>
      <c r="F210" s="41" t="s">
        <v>703</v>
      </c>
      <c r="G210" s="41" t="s">
        <v>763</v>
      </c>
      <c r="H210" s="41"/>
      <c r="I210" s="41"/>
      <c r="J210" s="41" t="s">
        <v>583</v>
      </c>
      <c r="K210" s="79" t="s">
        <v>571</v>
      </c>
      <c r="L210" s="41"/>
      <c r="M210" s="41"/>
      <c r="N210" s="41" t="s">
        <v>764</v>
      </c>
    </row>
    <row r="211" spans="1:14" ht="68" x14ac:dyDescent="0.2">
      <c r="A211" s="39" t="s">
        <v>566</v>
      </c>
      <c r="B211" s="39" t="s">
        <v>561</v>
      </c>
      <c r="C211" s="42" t="s">
        <v>581</v>
      </c>
      <c r="D211" s="41" t="s">
        <v>563</v>
      </c>
      <c r="E211" s="41" t="s">
        <v>395</v>
      </c>
      <c r="F211" s="41" t="s">
        <v>564</v>
      </c>
      <c r="G211" s="41" t="s">
        <v>585</v>
      </c>
      <c r="H211" s="41"/>
      <c r="I211" s="41"/>
      <c r="J211" s="41" t="s">
        <v>586</v>
      </c>
      <c r="K211" s="41"/>
      <c r="L211" s="41" t="s">
        <v>578</v>
      </c>
      <c r="M211" s="41"/>
      <c r="N211" s="41" t="s">
        <v>587</v>
      </c>
    </row>
    <row r="212" spans="1:14" ht="34" x14ac:dyDescent="0.2">
      <c r="A212" s="39" t="s">
        <v>566</v>
      </c>
      <c r="B212" s="39" t="s">
        <v>561</v>
      </c>
      <c r="C212" s="48" t="s">
        <v>562</v>
      </c>
      <c r="D212" s="49" t="s">
        <v>594</v>
      </c>
      <c r="E212" s="49" t="s">
        <v>392</v>
      </c>
      <c r="F212" s="49" t="s">
        <v>564</v>
      </c>
      <c r="G212" s="49" t="s">
        <v>595</v>
      </c>
      <c r="H212" s="49"/>
      <c r="I212" s="49"/>
      <c r="J212" s="49" t="s">
        <v>565</v>
      </c>
      <c r="K212" s="49" t="s">
        <v>567</v>
      </c>
      <c r="L212" s="49"/>
      <c r="M212" s="49"/>
      <c r="N212" s="49"/>
    </row>
    <row r="213" spans="1:14" ht="51" x14ac:dyDescent="0.2">
      <c r="A213" s="39" t="s">
        <v>566</v>
      </c>
      <c r="B213" s="39" t="s">
        <v>561</v>
      </c>
      <c r="C213" s="48" t="s">
        <v>591</v>
      </c>
      <c r="D213" s="49" t="s">
        <v>594</v>
      </c>
      <c r="E213" s="49" t="s">
        <v>405</v>
      </c>
      <c r="F213" s="49" t="s">
        <v>564</v>
      </c>
      <c r="G213" s="49"/>
      <c r="H213" s="49"/>
      <c r="I213" s="49"/>
      <c r="J213" s="49"/>
      <c r="K213" s="49"/>
      <c r="L213" s="49" t="s">
        <v>602</v>
      </c>
      <c r="M213" s="49"/>
      <c r="N213" s="49" t="s">
        <v>603</v>
      </c>
    </row>
    <row r="214" spans="1:14" ht="34" customHeight="1" x14ac:dyDescent="0.2">
      <c r="A214" s="39" t="s">
        <v>566</v>
      </c>
      <c r="B214" s="39" t="s">
        <v>664</v>
      </c>
      <c r="C214" s="48" t="s">
        <v>581</v>
      </c>
      <c r="D214" s="49" t="s">
        <v>594</v>
      </c>
      <c r="E214" s="49" t="s">
        <v>674</v>
      </c>
      <c r="F214" s="49" t="s">
        <v>675</v>
      </c>
      <c r="G214" s="49"/>
      <c r="H214" s="49"/>
      <c r="I214" s="49"/>
      <c r="J214" s="49" t="s">
        <v>604</v>
      </c>
      <c r="K214" s="49" t="s">
        <v>567</v>
      </c>
      <c r="L214" s="49"/>
      <c r="M214" s="49"/>
      <c r="N214" s="49" t="s">
        <v>676</v>
      </c>
    </row>
    <row r="215" spans="1:14" ht="51" x14ac:dyDescent="0.2">
      <c r="A215" s="39" t="s">
        <v>566</v>
      </c>
      <c r="B215" s="39" t="s">
        <v>664</v>
      </c>
      <c r="C215" s="48" t="s">
        <v>591</v>
      </c>
      <c r="D215" s="49" t="s">
        <v>594</v>
      </c>
      <c r="E215" s="49" t="s">
        <v>428</v>
      </c>
      <c r="F215" s="49" t="s">
        <v>564</v>
      </c>
      <c r="G215" s="49" t="s">
        <v>569</v>
      </c>
      <c r="H215" s="49" t="s">
        <v>682</v>
      </c>
      <c r="I215" s="49"/>
      <c r="J215" s="49" t="s">
        <v>602</v>
      </c>
      <c r="K215" s="49"/>
      <c r="L215" s="49" t="s">
        <v>604</v>
      </c>
      <c r="M215" s="49" t="s">
        <v>565</v>
      </c>
      <c r="N215" s="49" t="s">
        <v>683</v>
      </c>
    </row>
    <row r="216" spans="1:14" ht="51" x14ac:dyDescent="0.2">
      <c r="A216" s="39" t="s">
        <v>566</v>
      </c>
      <c r="B216" s="39" t="s">
        <v>664</v>
      </c>
      <c r="C216" s="48" t="s">
        <v>580</v>
      </c>
      <c r="D216" s="49" t="s">
        <v>594</v>
      </c>
      <c r="E216" s="49" t="s">
        <v>368</v>
      </c>
      <c r="F216" s="49" t="s">
        <v>630</v>
      </c>
      <c r="G216" s="49"/>
      <c r="H216" s="49"/>
      <c r="I216" s="49"/>
      <c r="J216" s="49" t="s">
        <v>604</v>
      </c>
      <c r="K216" s="49" t="s">
        <v>592</v>
      </c>
      <c r="L216" s="49"/>
      <c r="M216" s="49"/>
      <c r="N216" s="49" t="s">
        <v>672</v>
      </c>
    </row>
    <row r="217" spans="1:14" ht="68" x14ac:dyDescent="0.2">
      <c r="A217" s="39" t="s">
        <v>566</v>
      </c>
      <c r="B217" s="39" t="s">
        <v>664</v>
      </c>
      <c r="C217" s="48" t="s">
        <v>581</v>
      </c>
      <c r="D217" s="49" t="s">
        <v>594</v>
      </c>
      <c r="E217" s="49" t="s">
        <v>370</v>
      </c>
      <c r="F217" s="49" t="s">
        <v>564</v>
      </c>
      <c r="G217" s="49" t="s">
        <v>623</v>
      </c>
      <c r="H217" s="49"/>
      <c r="I217" s="49"/>
      <c r="J217" s="49" t="s">
        <v>602</v>
      </c>
      <c r="K217" s="49"/>
      <c r="L217" s="49" t="s">
        <v>571</v>
      </c>
      <c r="M217" s="49"/>
      <c r="N217" s="49" t="s">
        <v>673</v>
      </c>
    </row>
    <row r="218" spans="1:14" ht="34" x14ac:dyDescent="0.2">
      <c r="A218" s="39" t="s">
        <v>566</v>
      </c>
      <c r="B218" s="39" t="s">
        <v>664</v>
      </c>
      <c r="C218" s="48" t="s">
        <v>591</v>
      </c>
      <c r="D218" s="49" t="s">
        <v>594</v>
      </c>
      <c r="E218" s="49" t="s">
        <v>372</v>
      </c>
      <c r="F218" s="49" t="s">
        <v>564</v>
      </c>
      <c r="G218" s="49" t="s">
        <v>630</v>
      </c>
      <c r="H218" s="49"/>
      <c r="I218" s="49"/>
      <c r="J218" s="49" t="s">
        <v>677</v>
      </c>
      <c r="K218" s="49"/>
      <c r="L218" s="49" t="s">
        <v>571</v>
      </c>
      <c r="M218" s="49"/>
      <c r="N218" s="49" t="s">
        <v>678</v>
      </c>
    </row>
    <row r="219" spans="1:14" ht="68" x14ac:dyDescent="0.2">
      <c r="A219" s="39" t="s">
        <v>566</v>
      </c>
      <c r="B219" s="39" t="s">
        <v>664</v>
      </c>
      <c r="C219" s="48" t="s">
        <v>591</v>
      </c>
      <c r="D219" s="49" t="s">
        <v>594</v>
      </c>
      <c r="E219" s="49" t="s">
        <v>374</v>
      </c>
      <c r="F219" s="49" t="s">
        <v>564</v>
      </c>
      <c r="G219" s="49"/>
      <c r="H219" s="49"/>
      <c r="I219" s="49"/>
      <c r="J219" s="49"/>
      <c r="K219" s="49"/>
      <c r="L219" s="49" t="s">
        <v>571</v>
      </c>
      <c r="M219" s="49"/>
      <c r="N219" s="49" t="s">
        <v>679</v>
      </c>
    </row>
    <row r="220" spans="1:14" ht="51" x14ac:dyDescent="0.2">
      <c r="A220" s="39" t="s">
        <v>566</v>
      </c>
      <c r="B220" s="39" t="s">
        <v>759</v>
      </c>
      <c r="C220" s="48" t="s">
        <v>591</v>
      </c>
      <c r="D220" s="49" t="s">
        <v>594</v>
      </c>
      <c r="E220" s="49" t="s">
        <v>380</v>
      </c>
      <c r="F220" s="49" t="s">
        <v>564</v>
      </c>
      <c r="G220" s="49" t="s">
        <v>569</v>
      </c>
      <c r="H220" s="49"/>
      <c r="I220" s="49"/>
      <c r="J220" s="49" t="s">
        <v>565</v>
      </c>
      <c r="K220" s="49" t="s">
        <v>592</v>
      </c>
      <c r="L220" s="49" t="s">
        <v>571</v>
      </c>
      <c r="M220" s="49"/>
      <c r="N220" s="49" t="s">
        <v>593</v>
      </c>
    </row>
    <row r="221" spans="1:14" ht="51" customHeight="1" x14ac:dyDescent="0.2">
      <c r="A221" s="39" t="s">
        <v>566</v>
      </c>
      <c r="B221" s="39" t="s">
        <v>759</v>
      </c>
      <c r="C221" s="48" t="s">
        <v>581</v>
      </c>
      <c r="D221" s="49" t="s">
        <v>594</v>
      </c>
      <c r="E221" s="49" t="s">
        <v>415</v>
      </c>
      <c r="F221" s="49" t="s">
        <v>564</v>
      </c>
      <c r="G221" s="49"/>
      <c r="H221" s="49"/>
      <c r="I221" s="49"/>
      <c r="J221" s="49" t="s">
        <v>599</v>
      </c>
      <c r="K221" s="49"/>
      <c r="L221" s="49"/>
      <c r="M221" s="49"/>
      <c r="N221" s="49"/>
    </row>
    <row r="222" spans="1:14" ht="34" customHeight="1" x14ac:dyDescent="0.2">
      <c r="A222" s="39" t="s">
        <v>566</v>
      </c>
      <c r="B222" s="39" t="s">
        <v>759</v>
      </c>
      <c r="C222" s="48" t="s">
        <v>581</v>
      </c>
      <c r="D222" s="49" t="s">
        <v>594</v>
      </c>
      <c r="E222" s="49" t="s">
        <v>401</v>
      </c>
      <c r="F222" s="49" t="s">
        <v>564</v>
      </c>
      <c r="G222" s="49"/>
      <c r="H222" s="49"/>
      <c r="I222" s="49"/>
      <c r="J222" s="49" t="s">
        <v>578</v>
      </c>
      <c r="K222" s="51" t="s">
        <v>565</v>
      </c>
      <c r="L222" s="49" t="s">
        <v>605</v>
      </c>
      <c r="M222" s="51" t="s">
        <v>648</v>
      </c>
      <c r="N222" s="49" t="s">
        <v>772</v>
      </c>
    </row>
    <row r="223" spans="1:14" ht="51" customHeight="1" x14ac:dyDescent="0.2">
      <c r="A223" s="39" t="s">
        <v>568</v>
      </c>
      <c r="B223" s="39" t="s">
        <v>561</v>
      </c>
      <c r="C223" s="42" t="s">
        <v>562</v>
      </c>
      <c r="D223" s="43" t="s">
        <v>563</v>
      </c>
      <c r="E223" s="41" t="s">
        <v>302</v>
      </c>
      <c r="F223" s="43" t="s">
        <v>576</v>
      </c>
      <c r="G223" s="41"/>
      <c r="H223" s="41"/>
      <c r="I223" s="41"/>
      <c r="J223" s="41" t="s">
        <v>565</v>
      </c>
      <c r="K223" s="41" t="s">
        <v>577</v>
      </c>
      <c r="L223" s="41" t="s">
        <v>578</v>
      </c>
      <c r="M223" s="41"/>
      <c r="N223" s="41" t="s">
        <v>579</v>
      </c>
    </row>
    <row r="224" spans="1:14" ht="68" x14ac:dyDescent="0.2">
      <c r="A224" s="39" t="s">
        <v>568</v>
      </c>
      <c r="B224" s="39" t="s">
        <v>561</v>
      </c>
      <c r="C224" s="48" t="s">
        <v>580</v>
      </c>
      <c r="D224" s="49" t="s">
        <v>594</v>
      </c>
      <c r="E224" s="49" t="s">
        <v>598</v>
      </c>
      <c r="F224" s="49" t="s">
        <v>564</v>
      </c>
      <c r="G224" s="49"/>
      <c r="H224" s="49"/>
      <c r="I224" s="49"/>
      <c r="J224" s="49" t="s">
        <v>599</v>
      </c>
      <c r="K224" s="49"/>
      <c r="L224" s="49" t="s">
        <v>573</v>
      </c>
      <c r="M224" s="49"/>
      <c r="N224" s="49" t="s">
        <v>600</v>
      </c>
    </row>
    <row r="225" spans="1:15" ht="51" customHeight="1" x14ac:dyDescent="0.2">
      <c r="A225" s="39" t="s">
        <v>568</v>
      </c>
      <c r="B225" s="39" t="s">
        <v>561</v>
      </c>
      <c r="C225" s="68" t="s">
        <v>591</v>
      </c>
      <c r="D225" s="67" t="s">
        <v>638</v>
      </c>
      <c r="E225" s="67" t="s">
        <v>358</v>
      </c>
      <c r="F225" s="67" t="s">
        <v>564</v>
      </c>
      <c r="G225" s="67"/>
      <c r="H225" s="67"/>
      <c r="I225" s="67"/>
      <c r="J225" s="67" t="s">
        <v>565</v>
      </c>
      <c r="K225" s="67"/>
      <c r="L225" s="67"/>
      <c r="M225" s="70"/>
      <c r="N225" s="67"/>
    </row>
    <row r="226" spans="1:15" ht="53" customHeight="1" x14ac:dyDescent="0.2">
      <c r="A226" s="39" t="s">
        <v>568</v>
      </c>
      <c r="B226" s="39" t="s">
        <v>561</v>
      </c>
      <c r="C226" s="68" t="s">
        <v>591</v>
      </c>
      <c r="D226" s="67" t="s">
        <v>638</v>
      </c>
      <c r="E226" s="67" t="s">
        <v>290</v>
      </c>
      <c r="F226" s="67" t="s">
        <v>623</v>
      </c>
      <c r="G226" s="69" t="s">
        <v>646</v>
      </c>
      <c r="H226" s="67"/>
      <c r="I226" s="67"/>
      <c r="J226" s="67" t="s">
        <v>565</v>
      </c>
      <c r="K226" s="67"/>
      <c r="L226" s="67" t="s">
        <v>578</v>
      </c>
      <c r="M226" s="67"/>
      <c r="N226" s="67" t="s">
        <v>656</v>
      </c>
    </row>
    <row r="227" spans="1:15" ht="34" customHeight="1" x14ac:dyDescent="0.2">
      <c r="A227" s="39" t="s">
        <v>568</v>
      </c>
      <c r="B227" s="39" t="s">
        <v>561</v>
      </c>
      <c r="C227" s="42" t="s">
        <v>562</v>
      </c>
      <c r="D227" s="41" t="s">
        <v>563</v>
      </c>
      <c r="E227" s="41" t="s">
        <v>506</v>
      </c>
      <c r="F227" s="41" t="s">
        <v>569</v>
      </c>
      <c r="G227" s="41" t="s">
        <v>570</v>
      </c>
      <c r="H227" s="41"/>
      <c r="I227" s="41"/>
      <c r="J227" s="41" t="s">
        <v>571</v>
      </c>
      <c r="K227" s="41" t="s">
        <v>572</v>
      </c>
      <c r="L227" s="41" t="s">
        <v>573</v>
      </c>
      <c r="M227" s="41" t="s">
        <v>574</v>
      </c>
      <c r="N227" s="41" t="s">
        <v>575</v>
      </c>
    </row>
    <row r="228" spans="1:15" ht="51" x14ac:dyDescent="0.2">
      <c r="A228" s="46" t="s">
        <v>568</v>
      </c>
      <c r="B228" s="46" t="s">
        <v>561</v>
      </c>
      <c r="C228" s="47" t="s">
        <v>581</v>
      </c>
      <c r="D228" s="43" t="s">
        <v>563</v>
      </c>
      <c r="E228" s="43" t="s">
        <v>258</v>
      </c>
      <c r="F228" s="43" t="s">
        <v>576</v>
      </c>
      <c r="G228" s="43"/>
      <c r="H228" s="43"/>
      <c r="I228" s="43"/>
      <c r="J228" s="43" t="s">
        <v>586</v>
      </c>
      <c r="K228" s="43" t="s">
        <v>572</v>
      </c>
      <c r="L228" s="43" t="s">
        <v>588</v>
      </c>
      <c r="M228" s="43" t="s">
        <v>583</v>
      </c>
      <c r="N228" s="43"/>
    </row>
    <row r="229" spans="1:15" ht="102" x14ac:dyDescent="0.2">
      <c r="A229" s="39" t="s">
        <v>568</v>
      </c>
      <c r="B229" s="39" t="s">
        <v>561</v>
      </c>
      <c r="C229" s="54" t="s">
        <v>580</v>
      </c>
      <c r="D229" s="53" t="s">
        <v>608</v>
      </c>
      <c r="E229" s="53" t="s">
        <v>254</v>
      </c>
      <c r="F229" s="56" t="s">
        <v>621</v>
      </c>
      <c r="G229" s="53"/>
      <c r="H229" s="53"/>
      <c r="I229" s="53"/>
      <c r="J229" s="53" t="s">
        <v>565</v>
      </c>
      <c r="K229" s="53"/>
      <c r="L229" s="53" t="s">
        <v>622</v>
      </c>
      <c r="M229" s="57" t="s">
        <v>588</v>
      </c>
      <c r="N229" s="53"/>
    </row>
    <row r="230" spans="1:15" ht="51" x14ac:dyDescent="0.2">
      <c r="A230" s="39" t="s">
        <v>568</v>
      </c>
      <c r="B230" s="39" t="s">
        <v>561</v>
      </c>
      <c r="C230" s="54" t="s">
        <v>580</v>
      </c>
      <c r="D230" s="53" t="s">
        <v>608</v>
      </c>
      <c r="E230" s="53" t="s">
        <v>252</v>
      </c>
      <c r="F230" s="53" t="s">
        <v>623</v>
      </c>
      <c r="G230" s="53"/>
      <c r="H230" s="53"/>
      <c r="I230" s="53"/>
      <c r="J230" s="53" t="s">
        <v>583</v>
      </c>
      <c r="K230" s="53" t="s">
        <v>586</v>
      </c>
      <c r="L230" s="53" t="s">
        <v>578</v>
      </c>
      <c r="M230" s="53" t="s">
        <v>573</v>
      </c>
      <c r="N230" s="53"/>
    </row>
    <row r="231" spans="1:15" ht="68" customHeight="1" x14ac:dyDescent="0.2">
      <c r="A231" s="39" t="s">
        <v>568</v>
      </c>
      <c r="B231" s="39" t="s">
        <v>561</v>
      </c>
      <c r="C231" s="54" t="s">
        <v>591</v>
      </c>
      <c r="D231" s="53" t="s">
        <v>608</v>
      </c>
      <c r="E231" s="53" t="s">
        <v>256</v>
      </c>
      <c r="F231" s="53" t="s">
        <v>564</v>
      </c>
      <c r="G231" s="53"/>
      <c r="H231" s="53"/>
      <c r="I231" s="53"/>
      <c r="J231" s="53" t="s">
        <v>565</v>
      </c>
      <c r="K231" s="53" t="s">
        <v>574</v>
      </c>
      <c r="L231" s="53" t="s">
        <v>588</v>
      </c>
      <c r="M231" s="53" t="s">
        <v>599</v>
      </c>
      <c r="N231" s="53" t="s">
        <v>624</v>
      </c>
    </row>
    <row r="232" spans="1:15" ht="34" customHeight="1" x14ac:dyDescent="0.2">
      <c r="A232" s="39" t="s">
        <v>568</v>
      </c>
      <c r="B232" s="39" t="s">
        <v>561</v>
      </c>
      <c r="C232" s="68" t="s">
        <v>580</v>
      </c>
      <c r="D232" s="69" t="s">
        <v>638</v>
      </c>
      <c r="E232" s="67" t="s">
        <v>250</v>
      </c>
      <c r="F232" s="67" t="s">
        <v>564</v>
      </c>
      <c r="G232" s="67"/>
      <c r="H232" s="67"/>
      <c r="I232" s="67"/>
      <c r="J232" s="67" t="s">
        <v>577</v>
      </c>
      <c r="K232" s="67"/>
      <c r="L232" s="67" t="s">
        <v>573</v>
      </c>
      <c r="M232" s="67"/>
      <c r="N232" s="67" t="s">
        <v>642</v>
      </c>
    </row>
    <row r="233" spans="1:15" ht="51" customHeight="1" x14ac:dyDescent="0.2">
      <c r="A233" s="39" t="s">
        <v>568</v>
      </c>
      <c r="B233" s="39" t="s">
        <v>561</v>
      </c>
      <c r="C233" s="68" t="s">
        <v>581</v>
      </c>
      <c r="D233" s="67" t="s">
        <v>638</v>
      </c>
      <c r="E233" s="67" t="s">
        <v>6</v>
      </c>
      <c r="F233" s="67" t="s">
        <v>644</v>
      </c>
      <c r="G233" s="67"/>
      <c r="H233" s="67"/>
      <c r="I233" s="67"/>
      <c r="J233" s="67" t="s">
        <v>572</v>
      </c>
      <c r="K233" s="67" t="s">
        <v>586</v>
      </c>
      <c r="L233" s="67" t="s">
        <v>577</v>
      </c>
      <c r="M233" s="70" t="s">
        <v>565</v>
      </c>
      <c r="N233" s="67" t="s">
        <v>645</v>
      </c>
      <c r="O233" t="s">
        <v>262</v>
      </c>
    </row>
    <row r="234" spans="1:15" ht="34" customHeight="1" x14ac:dyDescent="0.2">
      <c r="A234" s="39" t="s">
        <v>568</v>
      </c>
      <c r="B234" s="39" t="s">
        <v>561</v>
      </c>
      <c r="C234" s="68" t="s">
        <v>581</v>
      </c>
      <c r="D234" s="67" t="s">
        <v>638</v>
      </c>
      <c r="E234" s="67" t="s">
        <v>262</v>
      </c>
      <c r="F234" s="69" t="s">
        <v>646</v>
      </c>
      <c r="G234" s="67"/>
      <c r="H234" s="67"/>
      <c r="I234" s="67"/>
      <c r="J234" s="67" t="s">
        <v>578</v>
      </c>
      <c r="K234" s="67" t="s">
        <v>565</v>
      </c>
      <c r="L234" s="67"/>
      <c r="M234" s="67"/>
      <c r="N234" s="67" t="s">
        <v>647</v>
      </c>
    </row>
    <row r="235" spans="1:15" ht="68" x14ac:dyDescent="0.2">
      <c r="A235" s="39" t="s">
        <v>568</v>
      </c>
      <c r="B235" s="39" t="s">
        <v>561</v>
      </c>
      <c r="C235" s="68" t="s">
        <v>591</v>
      </c>
      <c r="D235" s="67" t="s">
        <v>638</v>
      </c>
      <c r="E235" s="67" t="s">
        <v>246</v>
      </c>
      <c r="F235" s="67" t="s">
        <v>569</v>
      </c>
      <c r="G235" s="69" t="s">
        <v>657</v>
      </c>
      <c r="H235" s="67"/>
      <c r="I235" s="67"/>
      <c r="J235" s="67" t="s">
        <v>586</v>
      </c>
      <c r="K235" s="67" t="s">
        <v>565</v>
      </c>
      <c r="L235" s="67" t="s">
        <v>577</v>
      </c>
      <c r="M235" s="67"/>
      <c r="N235" s="67" t="s">
        <v>658</v>
      </c>
    </row>
    <row r="236" spans="1:15" ht="51" x14ac:dyDescent="0.2">
      <c r="A236" s="39" t="s">
        <v>568</v>
      </c>
      <c r="B236" s="39" t="s">
        <v>561</v>
      </c>
      <c r="C236" s="71" t="s">
        <v>580</v>
      </c>
      <c r="D236" s="72" t="s">
        <v>660</v>
      </c>
      <c r="E236" s="72" t="s">
        <v>248</v>
      </c>
      <c r="F236" s="72" t="s">
        <v>564</v>
      </c>
      <c r="G236" s="72"/>
      <c r="H236" s="72"/>
      <c r="I236" s="72"/>
      <c r="J236" s="72" t="s">
        <v>565</v>
      </c>
      <c r="K236" s="72"/>
      <c r="L236" s="72" t="s">
        <v>578</v>
      </c>
      <c r="M236" s="73"/>
      <c r="N236" s="72" t="s">
        <v>662</v>
      </c>
    </row>
    <row r="237" spans="1:15" ht="51" x14ac:dyDescent="0.2">
      <c r="A237" s="46" t="s">
        <v>568</v>
      </c>
      <c r="B237" s="46" t="s">
        <v>759</v>
      </c>
      <c r="C237" s="81" t="s">
        <v>580</v>
      </c>
      <c r="D237" s="56" t="s">
        <v>608</v>
      </c>
      <c r="E237" s="56" t="s">
        <v>218</v>
      </c>
      <c r="F237" s="56" t="s">
        <v>783</v>
      </c>
      <c r="G237" s="56"/>
      <c r="H237" s="56"/>
      <c r="I237" s="56"/>
      <c r="J237" s="56" t="s">
        <v>565</v>
      </c>
      <c r="K237" s="56" t="s">
        <v>572</v>
      </c>
      <c r="L237" s="56" t="s">
        <v>583</v>
      </c>
      <c r="M237" s="56" t="s">
        <v>599</v>
      </c>
      <c r="N237" s="56"/>
    </row>
    <row r="238" spans="1:15" ht="51" x14ac:dyDescent="0.2">
      <c r="A238" s="46" t="s">
        <v>568</v>
      </c>
      <c r="B238" s="46" t="s">
        <v>759</v>
      </c>
      <c r="C238" s="81" t="s">
        <v>591</v>
      </c>
      <c r="D238" s="56" t="s">
        <v>608</v>
      </c>
      <c r="E238" s="56" t="s">
        <v>194</v>
      </c>
      <c r="F238" s="56" t="s">
        <v>785</v>
      </c>
      <c r="G238" s="56"/>
      <c r="H238" s="56"/>
      <c r="I238" s="56"/>
      <c r="J238" s="56" t="s">
        <v>588</v>
      </c>
      <c r="K238" s="56"/>
      <c r="L238" s="56" t="s">
        <v>574</v>
      </c>
      <c r="M238" s="56"/>
      <c r="N238" s="56" t="s">
        <v>786</v>
      </c>
    </row>
    <row r="239" spans="1:15" ht="68" x14ac:dyDescent="0.2">
      <c r="A239" s="39" t="s">
        <v>568</v>
      </c>
      <c r="B239" s="39" t="s">
        <v>561</v>
      </c>
      <c r="C239" s="58" t="s">
        <v>562</v>
      </c>
      <c r="D239" s="59" t="s">
        <v>625</v>
      </c>
      <c r="E239" s="59" t="s">
        <v>54</v>
      </c>
      <c r="F239" s="59" t="s">
        <v>626</v>
      </c>
      <c r="G239" s="59"/>
      <c r="H239" s="59"/>
      <c r="I239" s="59"/>
      <c r="J239" s="59" t="s">
        <v>565</v>
      </c>
      <c r="K239" s="59" t="s">
        <v>586</v>
      </c>
      <c r="L239" s="59" t="s">
        <v>573</v>
      </c>
      <c r="M239" s="59"/>
      <c r="N239" s="59" t="s">
        <v>627</v>
      </c>
    </row>
    <row r="240" spans="1:15" ht="68" x14ac:dyDescent="0.2">
      <c r="A240" s="39" t="s">
        <v>568</v>
      </c>
      <c r="B240" s="39" t="s">
        <v>561</v>
      </c>
      <c r="C240" s="58" t="s">
        <v>562</v>
      </c>
      <c r="D240" s="59" t="s">
        <v>625</v>
      </c>
      <c r="E240" s="59" t="s">
        <v>12</v>
      </c>
      <c r="F240" s="59" t="s">
        <v>564</v>
      </c>
      <c r="G240" s="59" t="s">
        <v>632</v>
      </c>
      <c r="H240" s="59"/>
      <c r="I240" s="59"/>
      <c r="J240" s="59" t="s">
        <v>588</v>
      </c>
      <c r="K240" s="59" t="s">
        <v>599</v>
      </c>
      <c r="L240" s="59"/>
      <c r="M240" s="59"/>
      <c r="N240" s="62" t="s">
        <v>633</v>
      </c>
    </row>
    <row r="241" spans="1:14" ht="34" customHeight="1" x14ac:dyDescent="0.2">
      <c r="A241" s="39" t="s">
        <v>568</v>
      </c>
      <c r="B241" s="39" t="s">
        <v>561</v>
      </c>
      <c r="C241" s="58" t="s">
        <v>562</v>
      </c>
      <c r="D241" s="59" t="s">
        <v>625</v>
      </c>
      <c r="E241" s="59" t="s">
        <v>10</v>
      </c>
      <c r="F241" s="59" t="s">
        <v>564</v>
      </c>
      <c r="G241" s="59" t="s">
        <v>569</v>
      </c>
      <c r="H241" s="59"/>
      <c r="I241" s="59"/>
      <c r="J241" s="63" t="s">
        <v>565</v>
      </c>
      <c r="K241" s="59"/>
      <c r="L241" s="59" t="s">
        <v>573</v>
      </c>
      <c r="M241" s="59"/>
      <c r="N241" s="59"/>
    </row>
    <row r="242" spans="1:14" ht="39" customHeight="1" x14ac:dyDescent="0.2">
      <c r="A242" s="39" t="s">
        <v>568</v>
      </c>
      <c r="B242" s="39" t="s">
        <v>561</v>
      </c>
      <c r="C242" s="58" t="s">
        <v>562</v>
      </c>
      <c r="D242" s="59" t="s">
        <v>625</v>
      </c>
      <c r="E242" s="59" t="s">
        <v>36</v>
      </c>
      <c r="F242" s="63" t="s">
        <v>576</v>
      </c>
      <c r="G242" s="59"/>
      <c r="H242" s="59"/>
      <c r="I242" s="59"/>
      <c r="J242" s="59" t="s">
        <v>577</v>
      </c>
      <c r="K242" s="59" t="s">
        <v>574</v>
      </c>
      <c r="L242" s="59" t="s">
        <v>586</v>
      </c>
      <c r="M242" s="59" t="s">
        <v>565</v>
      </c>
      <c r="N242" s="59" t="s">
        <v>634</v>
      </c>
    </row>
    <row r="243" spans="1:14" ht="34" customHeight="1" x14ac:dyDescent="0.2">
      <c r="A243" s="39" t="s">
        <v>568</v>
      </c>
      <c r="B243" s="39" t="s">
        <v>561</v>
      </c>
      <c r="C243" s="58" t="s">
        <v>562</v>
      </c>
      <c r="D243" s="59" t="s">
        <v>625</v>
      </c>
      <c r="E243" s="59" t="s">
        <v>34</v>
      </c>
      <c r="F243" s="59" t="s">
        <v>564</v>
      </c>
      <c r="G243" s="59" t="s">
        <v>595</v>
      </c>
      <c r="H243" s="59"/>
      <c r="I243" s="59"/>
      <c r="J243" s="59" t="s">
        <v>599</v>
      </c>
      <c r="K243" s="59" t="s">
        <v>565</v>
      </c>
      <c r="L243" s="59" t="s">
        <v>573</v>
      </c>
      <c r="M243" s="59"/>
      <c r="N243" s="59"/>
    </row>
    <row r="244" spans="1:14" ht="51" customHeight="1" x14ac:dyDescent="0.2">
      <c r="A244" s="64" t="s">
        <v>568</v>
      </c>
      <c r="B244" s="39" t="s">
        <v>561</v>
      </c>
      <c r="C244" s="58" t="s">
        <v>562</v>
      </c>
      <c r="D244" s="59" t="s">
        <v>625</v>
      </c>
      <c r="E244" s="59" t="s">
        <v>16</v>
      </c>
      <c r="F244" s="59" t="s">
        <v>564</v>
      </c>
      <c r="G244" s="59"/>
      <c r="H244" s="59"/>
      <c r="I244" s="59"/>
      <c r="J244" s="59" t="s">
        <v>588</v>
      </c>
      <c r="K244" s="59" t="s">
        <v>565</v>
      </c>
      <c r="L244" s="59" t="s">
        <v>573</v>
      </c>
      <c r="M244" s="59" t="s">
        <v>574</v>
      </c>
      <c r="N244" s="59" t="s">
        <v>635</v>
      </c>
    </row>
    <row r="245" spans="1:14" ht="85" x14ac:dyDescent="0.2">
      <c r="A245" s="39" t="s">
        <v>568</v>
      </c>
      <c r="B245" s="39" t="s">
        <v>561</v>
      </c>
      <c r="C245" s="58" t="s">
        <v>580</v>
      </c>
      <c r="D245" s="59" t="s">
        <v>625</v>
      </c>
      <c r="E245" s="59" t="s">
        <v>32</v>
      </c>
      <c r="F245" s="59" t="s">
        <v>564</v>
      </c>
      <c r="G245" s="59"/>
      <c r="H245" s="59"/>
      <c r="I245" s="59"/>
      <c r="J245" s="59" t="s">
        <v>599</v>
      </c>
      <c r="K245" s="59" t="s">
        <v>565</v>
      </c>
      <c r="L245" s="59"/>
      <c r="M245" s="65"/>
      <c r="N245" s="59"/>
    </row>
    <row r="246" spans="1:14" ht="51" x14ac:dyDescent="0.2">
      <c r="A246" s="39" t="s">
        <v>568</v>
      </c>
      <c r="B246" s="39" t="s">
        <v>561</v>
      </c>
      <c r="C246" s="58" t="s">
        <v>591</v>
      </c>
      <c r="D246" s="59" t="s">
        <v>625</v>
      </c>
      <c r="E246" s="59" t="s">
        <v>18</v>
      </c>
      <c r="F246" s="59" t="s">
        <v>564</v>
      </c>
      <c r="G246" s="59"/>
      <c r="H246" s="59"/>
      <c r="I246" s="59"/>
      <c r="J246" s="59" t="s">
        <v>565</v>
      </c>
      <c r="K246" s="59"/>
      <c r="L246" s="59" t="s">
        <v>578</v>
      </c>
      <c r="M246" s="59"/>
      <c r="N246" s="59" t="s">
        <v>637</v>
      </c>
    </row>
    <row r="247" spans="1:14" ht="68" x14ac:dyDescent="0.2">
      <c r="A247" s="39" t="s">
        <v>568</v>
      </c>
      <c r="B247" s="39" t="s">
        <v>561</v>
      </c>
      <c r="C247" s="68" t="s">
        <v>562</v>
      </c>
      <c r="D247" s="67" t="s">
        <v>638</v>
      </c>
      <c r="E247" s="67" t="s">
        <v>20</v>
      </c>
      <c r="F247" s="67" t="s">
        <v>564</v>
      </c>
      <c r="G247" s="67" t="s">
        <v>632</v>
      </c>
      <c r="H247" s="67"/>
      <c r="I247" s="67"/>
      <c r="J247" s="67" t="s">
        <v>574</v>
      </c>
      <c r="K247" s="67" t="s">
        <v>571</v>
      </c>
      <c r="L247" s="67" t="s">
        <v>578</v>
      </c>
      <c r="M247" s="67"/>
      <c r="N247" s="67" t="s">
        <v>640</v>
      </c>
    </row>
    <row r="248" spans="1:14" ht="68" x14ac:dyDescent="0.2">
      <c r="A248" s="39" t="s">
        <v>568</v>
      </c>
      <c r="B248" s="39" t="s">
        <v>561</v>
      </c>
      <c r="C248" s="71" t="s">
        <v>591</v>
      </c>
      <c r="D248" s="72" t="s">
        <v>660</v>
      </c>
      <c r="E248" s="72" t="s">
        <v>59</v>
      </c>
      <c r="F248" s="72" t="s">
        <v>564</v>
      </c>
      <c r="G248" s="72" t="s">
        <v>632</v>
      </c>
      <c r="H248" s="72"/>
      <c r="I248" s="72"/>
      <c r="J248" s="72"/>
      <c r="K248" s="72"/>
      <c r="L248" s="72"/>
      <c r="M248" s="73"/>
      <c r="N248" s="72" t="s">
        <v>663</v>
      </c>
    </row>
    <row r="249" spans="1:14" ht="34" x14ac:dyDescent="0.2">
      <c r="A249" s="46" t="s">
        <v>568</v>
      </c>
      <c r="B249" s="46" t="s">
        <v>759</v>
      </c>
      <c r="C249" s="82" t="s">
        <v>562</v>
      </c>
      <c r="D249" s="63" t="s">
        <v>625</v>
      </c>
      <c r="E249" s="63" t="s">
        <v>46</v>
      </c>
      <c r="F249" s="63" t="s">
        <v>564</v>
      </c>
      <c r="G249" s="63" t="s">
        <v>762</v>
      </c>
      <c r="H249" s="63"/>
      <c r="I249" s="63"/>
      <c r="J249" s="63" t="s">
        <v>565</v>
      </c>
      <c r="K249" s="63"/>
      <c r="L249" s="63" t="s">
        <v>578</v>
      </c>
      <c r="M249" s="63"/>
      <c r="N249" s="83" t="s">
        <v>789</v>
      </c>
    </row>
    <row r="250" spans="1:14" ht="34" x14ac:dyDescent="0.2">
      <c r="A250" s="39" t="s">
        <v>568</v>
      </c>
      <c r="B250" s="39" t="s">
        <v>561</v>
      </c>
      <c r="C250" s="48" t="s">
        <v>580</v>
      </c>
      <c r="D250" s="49" t="s">
        <v>594</v>
      </c>
      <c r="E250" s="49" t="s">
        <v>494</v>
      </c>
      <c r="F250" s="49" t="s">
        <v>564</v>
      </c>
      <c r="G250" s="49"/>
      <c r="H250" s="49"/>
      <c r="I250" s="49"/>
      <c r="J250" s="49"/>
      <c r="K250" s="49"/>
      <c r="L250" s="49"/>
      <c r="M250" s="49"/>
      <c r="N250" s="49" t="s">
        <v>597</v>
      </c>
    </row>
    <row r="251" spans="1:14" ht="34" x14ac:dyDescent="0.2">
      <c r="A251" s="39" t="s">
        <v>568</v>
      </c>
      <c r="B251" s="39" t="s">
        <v>561</v>
      </c>
      <c r="C251" s="42" t="s">
        <v>580</v>
      </c>
      <c r="D251" s="41" t="s">
        <v>563</v>
      </c>
      <c r="E251" s="41" t="s">
        <v>454</v>
      </c>
      <c r="F251" s="41" t="s">
        <v>564</v>
      </c>
      <c r="G251" s="41"/>
      <c r="H251" s="41"/>
      <c r="I251" s="41"/>
      <c r="J251" s="41"/>
      <c r="K251" s="41"/>
      <c r="L251" s="41"/>
      <c r="M251" s="44"/>
      <c r="N251" s="41"/>
    </row>
    <row r="252" spans="1:14" ht="34" x14ac:dyDescent="0.2">
      <c r="A252" s="39" t="s">
        <v>568</v>
      </c>
      <c r="B252" s="39" t="s">
        <v>561</v>
      </c>
      <c r="C252" s="42" t="s">
        <v>581</v>
      </c>
      <c r="D252" s="41" t="s">
        <v>563</v>
      </c>
      <c r="E252" s="41" t="s">
        <v>450</v>
      </c>
      <c r="F252" s="43" t="s">
        <v>589</v>
      </c>
      <c r="G252" s="41"/>
      <c r="H252" s="41"/>
      <c r="I252" s="41"/>
      <c r="J252" s="41" t="s">
        <v>578</v>
      </c>
      <c r="K252" s="41" t="s">
        <v>565</v>
      </c>
      <c r="L252" s="41"/>
      <c r="M252" s="44"/>
      <c r="N252" s="41" t="s">
        <v>590</v>
      </c>
    </row>
    <row r="253" spans="1:14" ht="51" customHeight="1" x14ac:dyDescent="0.2">
      <c r="A253" s="46" t="s">
        <v>568</v>
      </c>
      <c r="B253" s="46" t="s">
        <v>759</v>
      </c>
      <c r="C253" s="47" t="s">
        <v>562</v>
      </c>
      <c r="D253" s="43" t="s">
        <v>563</v>
      </c>
      <c r="E253" s="43" t="s">
        <v>452</v>
      </c>
      <c r="F253" s="43" t="s">
        <v>564</v>
      </c>
      <c r="G253" s="43" t="s">
        <v>762</v>
      </c>
      <c r="H253" s="43"/>
      <c r="I253" s="43"/>
      <c r="J253" s="45" t="s">
        <v>565</v>
      </c>
      <c r="K253" s="43"/>
      <c r="L253" s="43"/>
      <c r="M253" s="43"/>
      <c r="N253" s="43"/>
    </row>
    <row r="254" spans="1:14" ht="51" x14ac:dyDescent="0.2">
      <c r="A254" s="39" t="s">
        <v>568</v>
      </c>
      <c r="B254" s="39" t="s">
        <v>561</v>
      </c>
      <c r="C254" s="48" t="s">
        <v>591</v>
      </c>
      <c r="D254" s="49" t="s">
        <v>594</v>
      </c>
      <c r="E254" s="49" t="s">
        <v>423</v>
      </c>
      <c r="F254" s="49" t="s">
        <v>564</v>
      </c>
      <c r="G254" s="49"/>
      <c r="H254" s="49"/>
      <c r="I254" s="49"/>
      <c r="J254" s="49" t="s">
        <v>572</v>
      </c>
      <c r="K254" s="49"/>
      <c r="L254" s="49" t="s">
        <v>578</v>
      </c>
      <c r="M254" s="51"/>
      <c r="N254" s="49" t="s">
        <v>607</v>
      </c>
    </row>
    <row r="255" spans="1:14" ht="51" x14ac:dyDescent="0.2">
      <c r="A255" s="39" t="s">
        <v>568</v>
      </c>
      <c r="B255" s="39" t="s">
        <v>561</v>
      </c>
      <c r="C255" s="68" t="s">
        <v>591</v>
      </c>
      <c r="D255" s="69" t="s">
        <v>638</v>
      </c>
      <c r="E255" s="67" t="s">
        <v>440</v>
      </c>
      <c r="F255" s="69" t="s">
        <v>576</v>
      </c>
      <c r="G255" s="67"/>
      <c r="H255" s="67"/>
      <c r="I255" s="67"/>
      <c r="J255" s="67" t="s">
        <v>573</v>
      </c>
      <c r="K255" s="67"/>
      <c r="L255" s="67"/>
      <c r="M255" s="67"/>
      <c r="N255" s="67" t="s">
        <v>659</v>
      </c>
    </row>
    <row r="256" spans="1:14" ht="51" x14ac:dyDescent="0.2">
      <c r="A256" s="39" t="s">
        <v>568</v>
      </c>
      <c r="B256" s="39" t="s">
        <v>561</v>
      </c>
      <c r="C256" s="48" t="s">
        <v>591</v>
      </c>
      <c r="D256" s="49" t="s">
        <v>594</v>
      </c>
      <c r="E256" s="49" t="s">
        <v>366</v>
      </c>
      <c r="F256" s="49" t="s">
        <v>564</v>
      </c>
      <c r="G256" s="49" t="s">
        <v>585</v>
      </c>
      <c r="H256" s="49" t="s">
        <v>595</v>
      </c>
      <c r="I256" s="49"/>
      <c r="J256" s="49" t="s">
        <v>574</v>
      </c>
      <c r="K256" s="49"/>
      <c r="L256" s="49" t="s">
        <v>574</v>
      </c>
      <c r="M256" s="49"/>
      <c r="N256" s="49"/>
    </row>
    <row r="257" spans="1:14" ht="51" x14ac:dyDescent="0.2">
      <c r="A257" s="39" t="s">
        <v>568</v>
      </c>
      <c r="B257" s="39" t="s">
        <v>561</v>
      </c>
      <c r="C257" s="71" t="s">
        <v>580</v>
      </c>
      <c r="D257" s="72" t="s">
        <v>660</v>
      </c>
      <c r="E257" s="72" t="s">
        <v>376</v>
      </c>
      <c r="F257" s="72" t="s">
        <v>564</v>
      </c>
      <c r="G257" s="72" t="s">
        <v>595</v>
      </c>
      <c r="H257" s="72"/>
      <c r="I257" s="72"/>
      <c r="J257" s="72" t="s">
        <v>599</v>
      </c>
      <c r="K257" s="72" t="s">
        <v>565</v>
      </c>
      <c r="L257" s="72" t="s">
        <v>574</v>
      </c>
      <c r="M257" s="72" t="s">
        <v>578</v>
      </c>
      <c r="N257" s="72" t="s">
        <v>661</v>
      </c>
    </row>
    <row r="258" spans="1:14" ht="51" x14ac:dyDescent="0.2">
      <c r="A258" s="39" t="s">
        <v>568</v>
      </c>
      <c r="B258" s="39" t="s">
        <v>561</v>
      </c>
      <c r="C258" s="58" t="s">
        <v>591</v>
      </c>
      <c r="D258" s="59" t="s">
        <v>625</v>
      </c>
      <c r="E258" s="59" t="s">
        <v>411</v>
      </c>
      <c r="F258" s="59" t="s">
        <v>564</v>
      </c>
      <c r="G258" s="59"/>
      <c r="H258" s="59"/>
      <c r="I258" s="59"/>
      <c r="J258" s="59"/>
      <c r="K258" s="59"/>
      <c r="L258" s="59" t="s">
        <v>574</v>
      </c>
      <c r="M258" s="59"/>
      <c r="N258" s="59" t="s">
        <v>636</v>
      </c>
    </row>
    <row r="259" spans="1:14" ht="85" x14ac:dyDescent="0.2">
      <c r="A259" s="39" t="s">
        <v>568</v>
      </c>
      <c r="B259" s="39" t="s">
        <v>561</v>
      </c>
      <c r="C259" s="68" t="s">
        <v>580</v>
      </c>
      <c r="D259" s="69" t="s">
        <v>638</v>
      </c>
      <c r="E259" s="67" t="s">
        <v>407</v>
      </c>
      <c r="F259" s="67" t="s">
        <v>564</v>
      </c>
      <c r="G259" s="67"/>
      <c r="H259" s="67"/>
      <c r="I259" s="67"/>
      <c r="J259" s="67" t="s">
        <v>565</v>
      </c>
      <c r="K259" s="67"/>
      <c r="L259" s="67" t="s">
        <v>599</v>
      </c>
      <c r="M259" s="67" t="s">
        <v>573</v>
      </c>
      <c r="N259" s="67" t="s">
        <v>643</v>
      </c>
    </row>
    <row r="260" spans="1:14" ht="51" x14ac:dyDescent="0.2">
      <c r="A260" s="46" t="s">
        <v>568</v>
      </c>
      <c r="B260" s="46" t="s">
        <v>759</v>
      </c>
      <c r="C260" s="80" t="s">
        <v>581</v>
      </c>
      <c r="D260" s="74" t="s">
        <v>594</v>
      </c>
      <c r="E260" s="74" t="s">
        <v>378</v>
      </c>
      <c r="F260" s="74" t="s">
        <v>564</v>
      </c>
      <c r="G260" s="74" t="s">
        <v>762</v>
      </c>
      <c r="H260" s="74"/>
      <c r="I260" s="74"/>
      <c r="J260" s="74"/>
      <c r="K260" s="74"/>
      <c r="L260" s="74" t="s">
        <v>578</v>
      </c>
      <c r="M260" s="74"/>
      <c r="N260" s="74"/>
    </row>
    <row r="261" spans="1:14" ht="51" x14ac:dyDescent="0.2">
      <c r="A261" s="46" t="s">
        <v>568</v>
      </c>
      <c r="B261" s="46" t="s">
        <v>759</v>
      </c>
      <c r="C261" s="84" t="s">
        <v>562</v>
      </c>
      <c r="D261" s="69" t="s">
        <v>638</v>
      </c>
      <c r="E261" s="69" t="s">
        <v>388</v>
      </c>
      <c r="F261" s="69" t="s">
        <v>564</v>
      </c>
      <c r="G261" s="69" t="s">
        <v>762</v>
      </c>
      <c r="H261" s="69"/>
      <c r="I261" s="69"/>
      <c r="J261" s="69" t="s">
        <v>565</v>
      </c>
      <c r="K261" s="69"/>
      <c r="L261" s="69" t="s">
        <v>578</v>
      </c>
      <c r="M261" s="69"/>
      <c r="N261" s="85" t="s">
        <v>789</v>
      </c>
    </row>
    <row r="262" spans="1:14" ht="34" x14ac:dyDescent="0.2">
      <c r="A262" s="46" t="s">
        <v>568</v>
      </c>
      <c r="B262" s="46" t="s">
        <v>759</v>
      </c>
      <c r="C262" s="89" t="s">
        <v>580</v>
      </c>
      <c r="D262" s="78" t="s">
        <v>660</v>
      </c>
      <c r="E262" s="78" t="s">
        <v>390</v>
      </c>
      <c r="F262" s="78" t="s">
        <v>564</v>
      </c>
      <c r="G262" s="78" t="s">
        <v>762</v>
      </c>
      <c r="H262" s="78"/>
      <c r="I262" s="78"/>
      <c r="J262" s="78"/>
      <c r="K262" s="78"/>
      <c r="L262" s="78" t="s">
        <v>578</v>
      </c>
      <c r="M262" s="78"/>
      <c r="N262" s="78"/>
    </row>
    <row r="263" spans="1:14" x14ac:dyDescent="0.2">
      <c r="A263" s="91"/>
      <c r="B263" s="92"/>
      <c r="C263" s="92"/>
      <c r="D263" s="93"/>
      <c r="E263" s="93"/>
      <c r="F263" s="93"/>
      <c r="G263" s="93"/>
      <c r="H263" s="93"/>
      <c r="I263" s="93"/>
      <c r="J263" s="93"/>
      <c r="K263" s="93"/>
      <c r="L263" s="93"/>
      <c r="M263" s="93"/>
      <c r="N263" s="93"/>
    </row>
    <row r="264" spans="1:14" x14ac:dyDescent="0.2">
      <c r="A264" s="91"/>
      <c r="B264" s="92"/>
      <c r="C264" s="92"/>
      <c r="D264" s="93"/>
      <c r="E264" s="93"/>
      <c r="F264" s="93"/>
      <c r="G264" s="93"/>
      <c r="H264" s="93"/>
      <c r="I264" s="93"/>
      <c r="J264" s="93"/>
      <c r="K264" s="93"/>
      <c r="L264" s="93"/>
      <c r="M264" s="93"/>
      <c r="N264" s="93"/>
    </row>
    <row r="265" spans="1:14" x14ac:dyDescent="0.2">
      <c r="A265" s="93"/>
      <c r="B265" s="93"/>
      <c r="C265" s="93"/>
      <c r="D265" s="93"/>
      <c r="E265" s="93"/>
      <c r="F265" s="93"/>
      <c r="G265" s="93"/>
      <c r="H265" s="93"/>
      <c r="I265" s="93"/>
      <c r="J265" s="93"/>
      <c r="K265" s="93"/>
      <c r="L265" s="93"/>
      <c r="M265" s="93"/>
      <c r="N265" s="93"/>
    </row>
  </sheetData>
  <sortState xmlns:xlrd2="http://schemas.microsoft.com/office/spreadsheetml/2017/richdata2" ref="A2:N265">
    <sortCondition ref="A1:A265"/>
  </sortState>
  <dataValidations count="1">
    <dataValidation allowBlank="1" showInputMessage="1" showErrorMessage="1" sqref="K256:K262 M256:M262" xr:uid="{518A3A85-9A81-AF4F-B5B9-F7F7EE8D6993}"/>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0"/>
  <sheetViews>
    <sheetView zoomScale="93" workbookViewId="0">
      <pane ySplit="1" topLeftCell="A19" activePane="bottomLeft" state="frozen"/>
      <selection pane="bottomLeft" activeCell="B166" sqref="B166"/>
    </sheetView>
  </sheetViews>
  <sheetFormatPr baseColWidth="10" defaultColWidth="8.83203125" defaultRowHeight="15" x14ac:dyDescent="0.2"/>
  <cols>
    <col min="1" max="1" width="48" customWidth="1"/>
    <col min="2" max="2" width="52" customWidth="1"/>
    <col min="3" max="3" width="38" customWidth="1"/>
    <col min="4" max="4" width="36" customWidth="1"/>
  </cols>
  <sheetData>
    <row r="1" spans="1:4" ht="36" customHeight="1" x14ac:dyDescent="0.2">
      <c r="A1" s="1" t="s">
        <v>0</v>
      </c>
      <c r="B1" s="1" t="s">
        <v>1</v>
      </c>
      <c r="C1" s="1" t="s">
        <v>2</v>
      </c>
      <c r="D1" s="1" t="s">
        <v>3</v>
      </c>
    </row>
    <row r="2" spans="1:4" ht="56" customHeight="1" x14ac:dyDescent="0.2">
      <c r="A2" s="2" t="s">
        <v>4</v>
      </c>
      <c r="B2" s="3" t="s">
        <v>5</v>
      </c>
      <c r="C2" s="3" t="s">
        <v>6</v>
      </c>
      <c r="D2" s="4" t="s">
        <v>7</v>
      </c>
    </row>
    <row r="3" spans="1:4" ht="56" customHeight="1" x14ac:dyDescent="0.2">
      <c r="A3" s="2" t="s">
        <v>8</v>
      </c>
      <c r="B3" s="3" t="s">
        <v>9</v>
      </c>
      <c r="C3" s="3" t="s">
        <v>6</v>
      </c>
      <c r="D3" s="4" t="s">
        <v>7</v>
      </c>
    </row>
    <row r="4" spans="1:4" ht="56" customHeight="1" x14ac:dyDescent="0.2">
      <c r="A4" s="2" t="s">
        <v>10</v>
      </c>
      <c r="B4" s="3" t="s">
        <v>11</v>
      </c>
      <c r="C4" s="3" t="s">
        <v>6</v>
      </c>
      <c r="D4" s="4" t="s">
        <v>7</v>
      </c>
    </row>
    <row r="5" spans="1:4" ht="56" customHeight="1" x14ac:dyDescent="0.2">
      <c r="A5" s="2" t="s">
        <v>12</v>
      </c>
      <c r="B5" s="3" t="s">
        <v>13</v>
      </c>
      <c r="C5" s="3" t="s">
        <v>6</v>
      </c>
      <c r="D5" s="4" t="s">
        <v>7</v>
      </c>
    </row>
    <row r="6" spans="1:4" ht="56" customHeight="1" x14ac:dyDescent="0.2">
      <c r="A6" s="2" t="s">
        <v>14</v>
      </c>
      <c r="B6" s="3" t="s">
        <v>15</v>
      </c>
      <c r="C6" s="3" t="s">
        <v>6</v>
      </c>
      <c r="D6" s="4" t="s">
        <v>7</v>
      </c>
    </row>
    <row r="7" spans="1:4" ht="56" customHeight="1" x14ac:dyDescent="0.2">
      <c r="A7" s="2" t="s">
        <v>16</v>
      </c>
      <c r="B7" s="3" t="s">
        <v>17</v>
      </c>
      <c r="C7" s="3" t="s">
        <v>6</v>
      </c>
      <c r="D7" s="4" t="s">
        <v>7</v>
      </c>
    </row>
    <row r="8" spans="1:4" ht="56" customHeight="1" x14ac:dyDescent="0.2">
      <c r="A8" s="2" t="s">
        <v>18</v>
      </c>
      <c r="B8" s="3" t="s">
        <v>19</v>
      </c>
      <c r="C8" s="3" t="s">
        <v>6</v>
      </c>
      <c r="D8" s="4" t="s">
        <v>7</v>
      </c>
    </row>
    <row r="9" spans="1:4" ht="56" customHeight="1" x14ac:dyDescent="0.2">
      <c r="A9" s="2" t="s">
        <v>20</v>
      </c>
      <c r="B9" s="3" t="s">
        <v>21</v>
      </c>
      <c r="C9" s="3" t="s">
        <v>6</v>
      </c>
      <c r="D9" s="4" t="s">
        <v>7</v>
      </c>
    </row>
    <row r="10" spans="1:4" ht="56" customHeight="1" x14ac:dyDescent="0.2">
      <c r="A10" s="2" t="s">
        <v>22</v>
      </c>
      <c r="B10" s="3" t="s">
        <v>23</v>
      </c>
      <c r="C10" s="3" t="s">
        <v>6</v>
      </c>
      <c r="D10" s="4" t="s">
        <v>7</v>
      </c>
    </row>
    <row r="11" spans="1:4" ht="56" customHeight="1" x14ac:dyDescent="0.2">
      <c r="A11" s="2" t="s">
        <v>24</v>
      </c>
      <c r="B11" s="3" t="s">
        <v>25</v>
      </c>
      <c r="C11" s="3" t="s">
        <v>6</v>
      </c>
      <c r="D11" s="4" t="s">
        <v>7</v>
      </c>
    </row>
    <row r="12" spans="1:4" ht="56" customHeight="1" x14ac:dyDescent="0.2">
      <c r="A12" s="2" t="s">
        <v>26</v>
      </c>
      <c r="B12" s="3" t="s">
        <v>27</v>
      </c>
      <c r="C12" s="3" t="s">
        <v>6</v>
      </c>
      <c r="D12" s="4" t="s">
        <v>7</v>
      </c>
    </row>
    <row r="13" spans="1:4" ht="56" customHeight="1" x14ac:dyDescent="0.2">
      <c r="A13" s="2" t="s">
        <v>28</v>
      </c>
      <c r="B13" s="3" t="s">
        <v>29</v>
      </c>
      <c r="C13" s="3" t="s">
        <v>6</v>
      </c>
      <c r="D13" s="4" t="s">
        <v>7</v>
      </c>
    </row>
    <row r="14" spans="1:4" ht="56" customHeight="1" x14ac:dyDescent="0.2">
      <c r="A14" s="2" t="s">
        <v>30</v>
      </c>
      <c r="B14" s="3" t="s">
        <v>31</v>
      </c>
      <c r="C14" s="3" t="s">
        <v>6</v>
      </c>
      <c r="D14" s="4" t="s">
        <v>7</v>
      </c>
    </row>
    <row r="15" spans="1:4" ht="56" customHeight="1" x14ac:dyDescent="0.2">
      <c r="A15" s="2" t="s">
        <v>32</v>
      </c>
      <c r="B15" s="3" t="s">
        <v>33</v>
      </c>
      <c r="C15" s="3" t="s">
        <v>6</v>
      </c>
      <c r="D15" s="4" t="s">
        <v>7</v>
      </c>
    </row>
    <row r="16" spans="1:4" ht="56" customHeight="1" x14ac:dyDescent="0.2">
      <c r="A16" s="2" t="s">
        <v>34</v>
      </c>
      <c r="B16" s="3" t="s">
        <v>35</v>
      </c>
      <c r="C16" s="3" t="s">
        <v>6</v>
      </c>
      <c r="D16" s="4" t="s">
        <v>7</v>
      </c>
    </row>
    <row r="17" spans="1:4" ht="56" customHeight="1" x14ac:dyDescent="0.2">
      <c r="A17" s="2" t="s">
        <v>36</v>
      </c>
      <c r="B17" s="3" t="s">
        <v>37</v>
      </c>
      <c r="C17" s="3" t="s">
        <v>6</v>
      </c>
      <c r="D17" s="4" t="s">
        <v>7</v>
      </c>
    </row>
    <row r="18" spans="1:4" ht="56" customHeight="1" x14ac:dyDescent="0.2">
      <c r="A18" s="2" t="s">
        <v>38</v>
      </c>
      <c r="B18" s="3" t="s">
        <v>39</v>
      </c>
      <c r="C18" s="3" t="s">
        <v>6</v>
      </c>
      <c r="D18" s="4" t="s">
        <v>7</v>
      </c>
    </row>
    <row r="19" spans="1:4" ht="56" customHeight="1" x14ac:dyDescent="0.2">
      <c r="A19" s="2" t="s">
        <v>40</v>
      </c>
      <c r="B19" s="3" t="s">
        <v>41</v>
      </c>
      <c r="C19" s="3" t="s">
        <v>6</v>
      </c>
      <c r="D19" s="4" t="s">
        <v>7</v>
      </c>
    </row>
    <row r="20" spans="1:4" ht="56" customHeight="1" x14ac:dyDescent="0.2">
      <c r="A20" s="2" t="s">
        <v>42</v>
      </c>
      <c r="B20" s="3" t="s">
        <v>43</v>
      </c>
      <c r="C20" s="3" t="s">
        <v>6</v>
      </c>
      <c r="D20" s="4" t="s">
        <v>7</v>
      </c>
    </row>
    <row r="21" spans="1:4" ht="56" customHeight="1" x14ac:dyDescent="0.2">
      <c r="A21" s="2" t="s">
        <v>44</v>
      </c>
      <c r="B21" s="3" t="s">
        <v>45</v>
      </c>
      <c r="C21" s="3" t="s">
        <v>6</v>
      </c>
      <c r="D21" s="4" t="s">
        <v>7</v>
      </c>
    </row>
    <row r="22" spans="1:4" ht="56" customHeight="1" x14ac:dyDescent="0.2">
      <c r="A22" s="2" t="s">
        <v>46</v>
      </c>
      <c r="B22" s="3" t="s">
        <v>47</v>
      </c>
      <c r="C22" s="3" t="s">
        <v>6</v>
      </c>
      <c r="D22" s="4" t="s">
        <v>7</v>
      </c>
    </row>
    <row r="23" spans="1:4" ht="56" customHeight="1" x14ac:dyDescent="0.2">
      <c r="A23" s="2" t="s">
        <v>48</v>
      </c>
      <c r="B23" s="3" t="s">
        <v>49</v>
      </c>
      <c r="C23" s="3" t="s">
        <v>6</v>
      </c>
      <c r="D23" s="4" t="s">
        <v>7</v>
      </c>
    </row>
    <row r="24" spans="1:4" ht="56" customHeight="1" x14ac:dyDescent="0.2">
      <c r="A24" s="2" t="s">
        <v>50</v>
      </c>
      <c r="B24" s="3" t="s">
        <v>51</v>
      </c>
      <c r="C24" s="3" t="s">
        <v>6</v>
      </c>
      <c r="D24" s="4" t="s">
        <v>7</v>
      </c>
    </row>
    <row r="25" spans="1:4" ht="56" customHeight="1" x14ac:dyDescent="0.2">
      <c r="A25" s="2" t="s">
        <v>52</v>
      </c>
      <c r="B25" s="3" t="s">
        <v>53</v>
      </c>
      <c r="C25" s="3" t="s">
        <v>6</v>
      </c>
      <c r="D25" s="4" t="s">
        <v>7</v>
      </c>
    </row>
    <row r="26" spans="1:4" ht="56" customHeight="1" x14ac:dyDescent="0.2">
      <c r="A26" s="2" t="s">
        <v>54</v>
      </c>
      <c r="B26" s="3" t="s">
        <v>55</v>
      </c>
      <c r="C26" s="3" t="s">
        <v>6</v>
      </c>
      <c r="D26" s="4" t="s">
        <v>7</v>
      </c>
    </row>
    <row r="27" spans="1:4" ht="56" customHeight="1" x14ac:dyDescent="0.2">
      <c r="A27" s="2" t="s">
        <v>56</v>
      </c>
      <c r="B27" s="3" t="s">
        <v>57</v>
      </c>
      <c r="C27" s="3" t="s">
        <v>58</v>
      </c>
      <c r="D27" s="4" t="s">
        <v>7</v>
      </c>
    </row>
    <row r="28" spans="1:4" ht="56" customHeight="1" x14ac:dyDescent="0.2">
      <c r="A28" s="2" t="s">
        <v>59</v>
      </c>
      <c r="B28" s="3" t="s">
        <v>60</v>
      </c>
      <c r="C28" s="3" t="s">
        <v>58</v>
      </c>
      <c r="D28" s="4" t="s">
        <v>7</v>
      </c>
    </row>
    <row r="29" spans="1:4" ht="56" customHeight="1" x14ac:dyDescent="0.2">
      <c r="A29" s="2" t="s">
        <v>61</v>
      </c>
      <c r="B29" s="3" t="s">
        <v>62</v>
      </c>
      <c r="C29" s="3" t="s">
        <v>58</v>
      </c>
      <c r="D29" s="4" t="s">
        <v>7</v>
      </c>
    </row>
    <row r="30" spans="1:4" ht="56" customHeight="1" x14ac:dyDescent="0.2">
      <c r="A30" s="2" t="s">
        <v>63</v>
      </c>
      <c r="B30" s="3" t="s">
        <v>64</v>
      </c>
      <c r="C30" s="3" t="s">
        <v>58</v>
      </c>
      <c r="D30" s="4" t="s">
        <v>7</v>
      </c>
    </row>
    <row r="31" spans="1:4" ht="56" customHeight="1" x14ac:dyDescent="0.2">
      <c r="A31" s="2" t="s">
        <v>65</v>
      </c>
      <c r="B31" s="3" t="s">
        <v>66</v>
      </c>
      <c r="C31" s="3" t="s">
        <v>58</v>
      </c>
      <c r="D31" s="4" t="s">
        <v>7</v>
      </c>
    </row>
    <row r="32" spans="1:4" ht="56" customHeight="1" x14ac:dyDescent="0.2">
      <c r="A32" s="2" t="s">
        <v>67</v>
      </c>
      <c r="B32" s="3" t="s">
        <v>68</v>
      </c>
      <c r="C32" s="3" t="s">
        <v>58</v>
      </c>
      <c r="D32" s="4" t="s">
        <v>7</v>
      </c>
    </row>
    <row r="33" spans="1:4" ht="56" customHeight="1" x14ac:dyDescent="0.2">
      <c r="A33" s="2" t="s">
        <v>69</v>
      </c>
      <c r="B33" s="3" t="s">
        <v>70</v>
      </c>
      <c r="C33" s="3" t="s">
        <v>58</v>
      </c>
      <c r="D33" s="4" t="s">
        <v>7</v>
      </c>
    </row>
    <row r="34" spans="1:4" ht="56" customHeight="1" x14ac:dyDescent="0.2">
      <c r="A34" s="2" t="s">
        <v>71</v>
      </c>
      <c r="B34" s="3" t="s">
        <v>72</v>
      </c>
      <c r="C34" s="3" t="s">
        <v>58</v>
      </c>
      <c r="D34" s="4" t="s">
        <v>7</v>
      </c>
    </row>
    <row r="35" spans="1:4" ht="56" customHeight="1" x14ac:dyDescent="0.2">
      <c r="A35" s="2" t="s">
        <v>73</v>
      </c>
      <c r="B35" s="3" t="s">
        <v>74</v>
      </c>
      <c r="C35" s="3" t="s">
        <v>58</v>
      </c>
      <c r="D35" s="4" t="s">
        <v>7</v>
      </c>
    </row>
    <row r="36" spans="1:4" ht="56" customHeight="1" x14ac:dyDescent="0.2">
      <c r="A36" s="2" t="s">
        <v>75</v>
      </c>
      <c r="B36" s="3" t="s">
        <v>76</v>
      </c>
      <c r="C36" s="3" t="s">
        <v>58</v>
      </c>
      <c r="D36" s="4" t="s">
        <v>7</v>
      </c>
    </row>
    <row r="37" spans="1:4" ht="56" customHeight="1" x14ac:dyDescent="0.2">
      <c r="A37" s="2" t="s">
        <v>77</v>
      </c>
      <c r="B37" s="3" t="s">
        <v>78</v>
      </c>
      <c r="C37" s="3" t="s">
        <v>58</v>
      </c>
      <c r="D37" s="4" t="s">
        <v>7</v>
      </c>
    </row>
    <row r="38" spans="1:4" ht="56" customHeight="1" x14ac:dyDescent="0.2">
      <c r="A38" s="2" t="s">
        <v>79</v>
      </c>
      <c r="B38" s="3" t="s">
        <v>80</v>
      </c>
      <c r="C38" s="3" t="s">
        <v>81</v>
      </c>
      <c r="D38" s="4" t="s">
        <v>7</v>
      </c>
    </row>
    <row r="39" spans="1:4" ht="56" customHeight="1" x14ac:dyDescent="0.2">
      <c r="A39" s="2" t="s">
        <v>82</v>
      </c>
      <c r="B39" s="3" t="s">
        <v>83</v>
      </c>
      <c r="C39" s="3" t="s">
        <v>81</v>
      </c>
      <c r="D39" s="4" t="s">
        <v>7</v>
      </c>
    </row>
    <row r="40" spans="1:4" ht="56" customHeight="1" x14ac:dyDescent="0.2">
      <c r="A40" s="2" t="s">
        <v>84</v>
      </c>
      <c r="B40" s="3" t="s">
        <v>85</v>
      </c>
      <c r="C40" s="3" t="s">
        <v>81</v>
      </c>
      <c r="D40" s="4" t="s">
        <v>7</v>
      </c>
    </row>
    <row r="41" spans="1:4" ht="56" customHeight="1" x14ac:dyDescent="0.2">
      <c r="A41" s="2" t="s">
        <v>86</v>
      </c>
      <c r="B41" s="3" t="s">
        <v>87</v>
      </c>
      <c r="C41" s="3" t="s">
        <v>81</v>
      </c>
      <c r="D41" s="4" t="s">
        <v>7</v>
      </c>
    </row>
    <row r="42" spans="1:4" ht="56" customHeight="1" x14ac:dyDescent="0.2">
      <c r="A42" s="2" t="s">
        <v>88</v>
      </c>
      <c r="B42" s="3" t="s">
        <v>89</v>
      </c>
      <c r="C42" s="3" t="s">
        <v>81</v>
      </c>
      <c r="D42" s="4" t="s">
        <v>7</v>
      </c>
    </row>
    <row r="43" spans="1:4" ht="56" customHeight="1" x14ac:dyDescent="0.2">
      <c r="A43" s="2" t="s">
        <v>90</v>
      </c>
      <c r="B43" s="3" t="s">
        <v>91</v>
      </c>
      <c r="C43" s="3" t="s">
        <v>81</v>
      </c>
      <c r="D43" s="4" t="s">
        <v>7</v>
      </c>
    </row>
    <row r="44" spans="1:4" ht="56" customHeight="1" x14ac:dyDescent="0.2">
      <c r="A44" s="2" t="s">
        <v>92</v>
      </c>
      <c r="B44" s="3" t="s">
        <v>93</v>
      </c>
      <c r="C44" s="3" t="s">
        <v>81</v>
      </c>
      <c r="D44" s="4" t="s">
        <v>7</v>
      </c>
    </row>
    <row r="45" spans="1:4" ht="56" customHeight="1" x14ac:dyDescent="0.2">
      <c r="A45" s="2" t="s">
        <v>94</v>
      </c>
      <c r="B45" s="3" t="s">
        <v>95</v>
      </c>
      <c r="C45" s="3" t="s">
        <v>81</v>
      </c>
      <c r="D45" s="4" t="s">
        <v>7</v>
      </c>
    </row>
    <row r="46" spans="1:4" ht="56" customHeight="1" x14ac:dyDescent="0.2">
      <c r="A46" s="2" t="s">
        <v>96</v>
      </c>
      <c r="B46" s="3" t="s">
        <v>97</v>
      </c>
      <c r="C46" s="3" t="s">
        <v>81</v>
      </c>
      <c r="D46" s="4" t="s">
        <v>7</v>
      </c>
    </row>
    <row r="47" spans="1:4" ht="56" customHeight="1" x14ac:dyDescent="0.2">
      <c r="A47" s="2" t="s">
        <v>98</v>
      </c>
      <c r="B47" s="3" t="s">
        <v>99</v>
      </c>
      <c r="C47" s="3" t="s">
        <v>81</v>
      </c>
      <c r="D47" s="4" t="s">
        <v>7</v>
      </c>
    </row>
    <row r="48" spans="1:4" ht="56" customHeight="1" x14ac:dyDescent="0.2">
      <c r="A48" s="2" t="s">
        <v>100</v>
      </c>
      <c r="B48" s="3" t="s">
        <v>101</v>
      </c>
      <c r="C48" s="3" t="s">
        <v>81</v>
      </c>
      <c r="D48" s="4" t="s">
        <v>7</v>
      </c>
    </row>
    <row r="49" spans="1:4" ht="56" customHeight="1" x14ac:dyDescent="0.2">
      <c r="A49" s="2" t="s">
        <v>102</v>
      </c>
      <c r="B49" s="3" t="s">
        <v>103</v>
      </c>
      <c r="C49" s="3" t="s">
        <v>81</v>
      </c>
      <c r="D49" s="4" t="s">
        <v>7</v>
      </c>
    </row>
    <row r="50" spans="1:4" ht="56" customHeight="1" x14ac:dyDescent="0.2">
      <c r="A50" s="2" t="s">
        <v>104</v>
      </c>
      <c r="B50" s="3" t="s">
        <v>105</v>
      </c>
      <c r="C50" s="3" t="s">
        <v>81</v>
      </c>
      <c r="D50" s="4" t="s">
        <v>7</v>
      </c>
    </row>
    <row r="51" spans="1:4" ht="56" customHeight="1" x14ac:dyDescent="0.2">
      <c r="A51" s="2" t="s">
        <v>106</v>
      </c>
      <c r="B51" s="3" t="s">
        <v>107</v>
      </c>
      <c r="C51" s="3" t="s">
        <v>81</v>
      </c>
      <c r="D51" s="4" t="s">
        <v>7</v>
      </c>
    </row>
    <row r="52" spans="1:4" ht="56" customHeight="1" x14ac:dyDescent="0.2">
      <c r="A52" s="2" t="s">
        <v>108</v>
      </c>
      <c r="B52" s="3" t="s">
        <v>109</v>
      </c>
      <c r="C52" s="3" t="s">
        <v>81</v>
      </c>
      <c r="D52" s="4" t="s">
        <v>7</v>
      </c>
    </row>
    <row r="53" spans="1:4" ht="56" customHeight="1" x14ac:dyDescent="0.2">
      <c r="A53" s="2" t="s">
        <v>110</v>
      </c>
      <c r="B53" s="3" t="s">
        <v>111</v>
      </c>
      <c r="C53" s="3" t="s">
        <v>81</v>
      </c>
      <c r="D53" s="4" t="s">
        <v>7</v>
      </c>
    </row>
    <row r="54" spans="1:4" ht="56" customHeight="1" x14ac:dyDescent="0.2">
      <c r="A54" s="2" t="s">
        <v>112</v>
      </c>
      <c r="B54" s="3" t="s">
        <v>113</v>
      </c>
      <c r="C54" s="3" t="s">
        <v>81</v>
      </c>
      <c r="D54" s="4" t="s">
        <v>7</v>
      </c>
    </row>
    <row r="55" spans="1:4" ht="56" customHeight="1" x14ac:dyDescent="0.2">
      <c r="A55" s="2" t="s">
        <v>114</v>
      </c>
      <c r="B55" s="3" t="s">
        <v>115</v>
      </c>
      <c r="C55" s="3" t="s">
        <v>81</v>
      </c>
      <c r="D55" s="4" t="s">
        <v>7</v>
      </c>
    </row>
    <row r="56" spans="1:4" ht="56" customHeight="1" x14ac:dyDescent="0.2">
      <c r="A56" s="2" t="s">
        <v>116</v>
      </c>
      <c r="B56" s="3" t="s">
        <v>117</v>
      </c>
      <c r="C56" s="3" t="s">
        <v>81</v>
      </c>
      <c r="D56" s="4" t="s">
        <v>7</v>
      </c>
    </row>
    <row r="57" spans="1:4" ht="56" customHeight="1" x14ac:dyDescent="0.2">
      <c r="A57" s="2" t="s">
        <v>118</v>
      </c>
      <c r="B57" s="3" t="s">
        <v>119</v>
      </c>
      <c r="C57" s="3" t="s">
        <v>81</v>
      </c>
      <c r="D57" s="4" t="s">
        <v>7</v>
      </c>
    </row>
    <row r="58" spans="1:4" ht="56" customHeight="1" x14ac:dyDescent="0.2">
      <c r="A58" s="2" t="s">
        <v>120</v>
      </c>
      <c r="B58" s="3" t="s">
        <v>121</v>
      </c>
      <c r="C58" s="3" t="s">
        <v>81</v>
      </c>
      <c r="D58" s="4" t="s">
        <v>7</v>
      </c>
    </row>
    <row r="59" spans="1:4" ht="56" customHeight="1" x14ac:dyDescent="0.2">
      <c r="A59" s="5" t="s">
        <v>122</v>
      </c>
      <c r="B59" s="6" t="s">
        <v>123</v>
      </c>
      <c r="C59" s="6" t="s">
        <v>124</v>
      </c>
      <c r="D59" s="7" t="s">
        <v>125</v>
      </c>
    </row>
    <row r="60" spans="1:4" ht="56" customHeight="1" x14ac:dyDescent="0.2">
      <c r="A60" s="5" t="s">
        <v>126</v>
      </c>
      <c r="B60" s="6" t="s">
        <v>127</v>
      </c>
      <c r="C60" s="6" t="s">
        <v>124</v>
      </c>
      <c r="D60" s="7" t="s">
        <v>125</v>
      </c>
    </row>
    <row r="61" spans="1:4" ht="56" customHeight="1" x14ac:dyDescent="0.2">
      <c r="A61" s="5" t="s">
        <v>128</v>
      </c>
      <c r="B61" s="6" t="s">
        <v>129</v>
      </c>
      <c r="C61" s="6" t="s">
        <v>124</v>
      </c>
      <c r="D61" s="7" t="s">
        <v>125</v>
      </c>
    </row>
    <row r="62" spans="1:4" ht="56" customHeight="1" x14ac:dyDescent="0.2">
      <c r="A62" s="5" t="s">
        <v>130</v>
      </c>
      <c r="B62" s="6" t="s">
        <v>131</v>
      </c>
      <c r="C62" s="6" t="s">
        <v>124</v>
      </c>
      <c r="D62" s="7" t="s">
        <v>125</v>
      </c>
    </row>
    <row r="63" spans="1:4" ht="56" customHeight="1" x14ac:dyDescent="0.2">
      <c r="A63" s="5" t="s">
        <v>132</v>
      </c>
      <c r="B63" s="6" t="s">
        <v>133</v>
      </c>
      <c r="C63" s="6" t="s">
        <v>124</v>
      </c>
      <c r="D63" s="7" t="s">
        <v>125</v>
      </c>
    </row>
    <row r="64" spans="1:4" ht="56" customHeight="1" x14ac:dyDescent="0.2">
      <c r="A64" s="5" t="s">
        <v>134</v>
      </c>
      <c r="B64" s="6" t="s">
        <v>135</v>
      </c>
      <c r="C64" s="6" t="s">
        <v>124</v>
      </c>
      <c r="D64" s="7" t="s">
        <v>125</v>
      </c>
    </row>
    <row r="65" spans="1:4" ht="56" customHeight="1" x14ac:dyDescent="0.2">
      <c r="A65" s="5" t="s">
        <v>136</v>
      </c>
      <c r="B65" s="6" t="s">
        <v>137</v>
      </c>
      <c r="C65" s="6" t="s">
        <v>124</v>
      </c>
      <c r="D65" s="7" t="s">
        <v>125</v>
      </c>
    </row>
    <row r="66" spans="1:4" ht="56" customHeight="1" x14ac:dyDescent="0.2">
      <c r="A66" s="5" t="s">
        <v>138</v>
      </c>
      <c r="B66" s="6" t="s">
        <v>139</v>
      </c>
      <c r="C66" s="6" t="s">
        <v>124</v>
      </c>
      <c r="D66" s="7" t="s">
        <v>125</v>
      </c>
    </row>
    <row r="67" spans="1:4" ht="56" customHeight="1" x14ac:dyDescent="0.2">
      <c r="A67" s="5" t="s">
        <v>140</v>
      </c>
      <c r="B67" s="6" t="s">
        <v>141</v>
      </c>
      <c r="C67" s="6" t="s">
        <v>124</v>
      </c>
      <c r="D67" s="7" t="s">
        <v>125</v>
      </c>
    </row>
    <row r="68" spans="1:4" ht="56" customHeight="1" x14ac:dyDescent="0.2">
      <c r="A68" s="5" t="s">
        <v>142</v>
      </c>
      <c r="B68" s="6" t="s">
        <v>143</v>
      </c>
      <c r="C68" s="6" t="s">
        <v>124</v>
      </c>
      <c r="D68" s="7" t="s">
        <v>125</v>
      </c>
    </row>
    <row r="69" spans="1:4" ht="56" customHeight="1" x14ac:dyDescent="0.2">
      <c r="A69" s="5" t="s">
        <v>144</v>
      </c>
      <c r="B69" s="6" t="s">
        <v>145</v>
      </c>
      <c r="C69" s="6" t="s">
        <v>124</v>
      </c>
      <c r="D69" s="7" t="s">
        <v>125</v>
      </c>
    </row>
    <row r="70" spans="1:4" ht="56" customHeight="1" x14ac:dyDescent="0.2">
      <c r="A70" s="5" t="s">
        <v>146</v>
      </c>
      <c r="B70" s="6" t="s">
        <v>147</v>
      </c>
      <c r="C70" s="6" t="s">
        <v>124</v>
      </c>
      <c r="D70" s="7" t="s">
        <v>125</v>
      </c>
    </row>
    <row r="71" spans="1:4" ht="56" customHeight="1" x14ac:dyDescent="0.2">
      <c r="A71" s="5" t="s">
        <v>148</v>
      </c>
      <c r="B71" s="6" t="s">
        <v>149</v>
      </c>
      <c r="C71" s="6" t="s">
        <v>124</v>
      </c>
      <c r="D71" s="7" t="s">
        <v>125</v>
      </c>
    </row>
    <row r="72" spans="1:4" ht="56" customHeight="1" x14ac:dyDescent="0.2">
      <c r="A72" s="5" t="s">
        <v>150</v>
      </c>
      <c r="B72" s="6" t="s">
        <v>151</v>
      </c>
      <c r="C72" s="6" t="s">
        <v>124</v>
      </c>
      <c r="D72" s="7" t="s">
        <v>125</v>
      </c>
    </row>
    <row r="73" spans="1:4" ht="56" customHeight="1" x14ac:dyDescent="0.2">
      <c r="A73" s="5" t="s">
        <v>152</v>
      </c>
      <c r="B73" s="6" t="s">
        <v>153</v>
      </c>
      <c r="C73" s="6" t="s">
        <v>124</v>
      </c>
      <c r="D73" s="7" t="s">
        <v>125</v>
      </c>
    </row>
    <row r="74" spans="1:4" ht="56" customHeight="1" x14ac:dyDescent="0.2">
      <c r="A74" s="5" t="s">
        <v>154</v>
      </c>
      <c r="B74" s="6" t="s">
        <v>155</v>
      </c>
      <c r="C74" s="6" t="s">
        <v>124</v>
      </c>
      <c r="D74" s="7" t="s">
        <v>125</v>
      </c>
    </row>
    <row r="75" spans="1:4" ht="56" customHeight="1" x14ac:dyDescent="0.2">
      <c r="A75" s="5" t="s">
        <v>156</v>
      </c>
      <c r="B75" s="6" t="s">
        <v>157</v>
      </c>
      <c r="C75" s="6" t="s">
        <v>124</v>
      </c>
      <c r="D75" s="7" t="s">
        <v>125</v>
      </c>
    </row>
    <row r="76" spans="1:4" ht="56" customHeight="1" x14ac:dyDescent="0.2">
      <c r="A76" s="5" t="s">
        <v>158</v>
      </c>
      <c r="B76" s="6" t="s">
        <v>159</v>
      </c>
      <c r="C76" s="6" t="s">
        <v>160</v>
      </c>
      <c r="D76" s="7" t="s">
        <v>125</v>
      </c>
    </row>
    <row r="77" spans="1:4" ht="56" customHeight="1" x14ac:dyDescent="0.2">
      <c r="A77" s="5" t="s">
        <v>161</v>
      </c>
      <c r="B77" s="6" t="s">
        <v>162</v>
      </c>
      <c r="C77" s="6" t="s">
        <v>160</v>
      </c>
      <c r="D77" s="7" t="s">
        <v>125</v>
      </c>
    </row>
    <row r="78" spans="1:4" ht="56" customHeight="1" x14ac:dyDescent="0.2">
      <c r="A78" s="5" t="s">
        <v>163</v>
      </c>
      <c r="B78" s="6" t="s">
        <v>162</v>
      </c>
      <c r="C78" s="6" t="s">
        <v>160</v>
      </c>
      <c r="D78" s="7" t="s">
        <v>125</v>
      </c>
    </row>
    <row r="79" spans="1:4" ht="56" customHeight="1" x14ac:dyDescent="0.2">
      <c r="A79" s="5" t="s">
        <v>164</v>
      </c>
      <c r="B79" s="6" t="s">
        <v>165</v>
      </c>
      <c r="C79" s="6" t="s">
        <v>160</v>
      </c>
      <c r="D79" s="7" t="s">
        <v>125</v>
      </c>
    </row>
    <row r="80" spans="1:4" ht="56" customHeight="1" x14ac:dyDescent="0.2">
      <c r="A80" s="5" t="s">
        <v>166</v>
      </c>
      <c r="B80" s="6" t="s">
        <v>167</v>
      </c>
      <c r="C80" s="6" t="s">
        <v>160</v>
      </c>
      <c r="D80" s="7" t="s">
        <v>125</v>
      </c>
    </row>
    <row r="81" spans="1:4" ht="56" customHeight="1" x14ac:dyDescent="0.2">
      <c r="A81" s="5" t="s">
        <v>168</v>
      </c>
      <c r="B81" s="6" t="s">
        <v>169</v>
      </c>
      <c r="C81" s="6" t="s">
        <v>160</v>
      </c>
      <c r="D81" s="7" t="s">
        <v>125</v>
      </c>
    </row>
    <row r="82" spans="1:4" ht="56" customHeight="1" x14ac:dyDescent="0.2">
      <c r="A82" s="5" t="s">
        <v>170</v>
      </c>
      <c r="B82" s="6" t="s">
        <v>171</v>
      </c>
      <c r="C82" s="6" t="s">
        <v>160</v>
      </c>
      <c r="D82" s="7" t="s">
        <v>125</v>
      </c>
    </row>
    <row r="83" spans="1:4" ht="56" customHeight="1" x14ac:dyDescent="0.2">
      <c r="A83" s="5" t="s">
        <v>172</v>
      </c>
      <c r="B83" s="6" t="s">
        <v>173</v>
      </c>
      <c r="C83" s="6" t="s">
        <v>160</v>
      </c>
      <c r="D83" s="7" t="s">
        <v>125</v>
      </c>
    </row>
    <row r="84" spans="1:4" ht="56" customHeight="1" x14ac:dyDescent="0.2">
      <c r="A84" s="5" t="s">
        <v>174</v>
      </c>
      <c r="B84" s="6" t="s">
        <v>175</v>
      </c>
      <c r="C84" s="6" t="s">
        <v>160</v>
      </c>
      <c r="D84" s="7" t="s">
        <v>125</v>
      </c>
    </row>
    <row r="85" spans="1:4" ht="56" customHeight="1" x14ac:dyDescent="0.2">
      <c r="A85" s="5" t="s">
        <v>176</v>
      </c>
      <c r="B85" s="6" t="s">
        <v>177</v>
      </c>
      <c r="C85" s="6" t="s">
        <v>160</v>
      </c>
      <c r="D85" s="7" t="s">
        <v>125</v>
      </c>
    </row>
    <row r="86" spans="1:4" ht="56" customHeight="1" x14ac:dyDescent="0.2">
      <c r="A86" s="5" t="s">
        <v>178</v>
      </c>
      <c r="B86" s="6" t="s">
        <v>179</v>
      </c>
      <c r="C86" s="6" t="s">
        <v>160</v>
      </c>
      <c r="D86" s="7" t="s">
        <v>125</v>
      </c>
    </row>
    <row r="87" spans="1:4" ht="56" customHeight="1" x14ac:dyDescent="0.2">
      <c r="A87" s="5" t="s">
        <v>180</v>
      </c>
      <c r="B87" s="6" t="s">
        <v>181</v>
      </c>
      <c r="C87" s="6" t="s">
        <v>160</v>
      </c>
      <c r="D87" s="7" t="s">
        <v>125</v>
      </c>
    </row>
    <row r="88" spans="1:4" ht="56" customHeight="1" x14ac:dyDescent="0.2">
      <c r="A88" s="5" t="s">
        <v>182</v>
      </c>
      <c r="B88" s="6" t="s">
        <v>183</v>
      </c>
      <c r="C88" s="6" t="s">
        <v>160</v>
      </c>
      <c r="D88" s="7" t="s">
        <v>125</v>
      </c>
    </row>
    <row r="89" spans="1:4" ht="56" customHeight="1" x14ac:dyDescent="0.2">
      <c r="A89" s="5" t="s">
        <v>184</v>
      </c>
      <c r="B89" s="6" t="s">
        <v>185</v>
      </c>
      <c r="C89" s="6" t="s">
        <v>160</v>
      </c>
      <c r="D89" s="7" t="s">
        <v>125</v>
      </c>
    </row>
    <row r="90" spans="1:4" ht="56" customHeight="1" x14ac:dyDescent="0.2">
      <c r="A90" s="5" t="s">
        <v>186</v>
      </c>
      <c r="B90" s="6" t="s">
        <v>187</v>
      </c>
      <c r="C90" s="6" t="s">
        <v>160</v>
      </c>
      <c r="D90" s="7" t="s">
        <v>125</v>
      </c>
    </row>
    <row r="91" spans="1:4" ht="56" customHeight="1" x14ac:dyDescent="0.2">
      <c r="A91" s="5" t="s">
        <v>188</v>
      </c>
      <c r="B91" s="6" t="s">
        <v>189</v>
      </c>
      <c r="C91" s="6" t="s">
        <v>160</v>
      </c>
      <c r="D91" s="7" t="s">
        <v>125</v>
      </c>
    </row>
    <row r="92" spans="1:4" ht="56" customHeight="1" x14ac:dyDescent="0.2">
      <c r="A92" s="5" t="s">
        <v>190</v>
      </c>
      <c r="B92" s="6" t="s">
        <v>191</v>
      </c>
      <c r="C92" s="6" t="s">
        <v>160</v>
      </c>
      <c r="D92" s="7" t="s">
        <v>125</v>
      </c>
    </row>
    <row r="93" spans="1:4" ht="56" customHeight="1" x14ac:dyDescent="0.2">
      <c r="A93" s="5" t="s">
        <v>192</v>
      </c>
      <c r="B93" s="6" t="s">
        <v>193</v>
      </c>
      <c r="C93" s="6" t="s">
        <v>160</v>
      </c>
      <c r="D93" s="7" t="s">
        <v>125</v>
      </c>
    </row>
    <row r="94" spans="1:4" ht="56" customHeight="1" x14ac:dyDescent="0.2">
      <c r="A94" s="5" t="s">
        <v>194</v>
      </c>
      <c r="B94" s="6" t="s">
        <v>195</v>
      </c>
      <c r="C94" s="6" t="s">
        <v>160</v>
      </c>
      <c r="D94" s="7" t="s">
        <v>125</v>
      </c>
    </row>
    <row r="95" spans="1:4" ht="56" customHeight="1" x14ac:dyDescent="0.2">
      <c r="A95" s="5" t="s">
        <v>196</v>
      </c>
      <c r="B95" s="6" t="s">
        <v>197</v>
      </c>
      <c r="C95" s="6" t="s">
        <v>160</v>
      </c>
      <c r="D95" s="7" t="s">
        <v>125</v>
      </c>
    </row>
    <row r="96" spans="1:4" ht="56" customHeight="1" x14ac:dyDescent="0.2">
      <c r="A96" s="5" t="s">
        <v>198</v>
      </c>
      <c r="B96" s="6" t="s">
        <v>199</v>
      </c>
      <c r="C96" s="6" t="s">
        <v>160</v>
      </c>
      <c r="D96" s="7" t="s">
        <v>125</v>
      </c>
    </row>
    <row r="97" spans="1:4" ht="56" customHeight="1" x14ac:dyDescent="0.2">
      <c r="A97" s="5" t="s">
        <v>200</v>
      </c>
      <c r="B97" s="6" t="s">
        <v>201</v>
      </c>
      <c r="C97" s="6" t="s">
        <v>160</v>
      </c>
      <c r="D97" s="7" t="s">
        <v>125</v>
      </c>
    </row>
    <row r="98" spans="1:4" ht="56" customHeight="1" x14ac:dyDescent="0.2">
      <c r="A98" s="5" t="s">
        <v>202</v>
      </c>
      <c r="B98" s="6" t="s">
        <v>203</v>
      </c>
      <c r="C98" s="6" t="s">
        <v>160</v>
      </c>
      <c r="D98" s="7" t="s">
        <v>125</v>
      </c>
    </row>
    <row r="99" spans="1:4" ht="56" customHeight="1" x14ac:dyDescent="0.2">
      <c r="A99" s="5" t="s">
        <v>204</v>
      </c>
      <c r="B99" s="6" t="s">
        <v>205</v>
      </c>
      <c r="C99" s="6" t="s">
        <v>160</v>
      </c>
      <c r="D99" s="7" t="s">
        <v>125</v>
      </c>
    </row>
    <row r="100" spans="1:4" ht="56" customHeight="1" x14ac:dyDescent="0.2">
      <c r="A100" s="5" t="s">
        <v>206</v>
      </c>
      <c r="B100" s="6" t="s">
        <v>207</v>
      </c>
      <c r="C100" s="6" t="s">
        <v>160</v>
      </c>
      <c r="D100" s="7" t="s">
        <v>125</v>
      </c>
    </row>
    <row r="101" spans="1:4" ht="56" customHeight="1" x14ac:dyDescent="0.2">
      <c r="A101" s="5" t="s">
        <v>208</v>
      </c>
      <c r="B101" s="6" t="s">
        <v>209</v>
      </c>
      <c r="C101" s="6" t="s">
        <v>160</v>
      </c>
      <c r="D101" s="7" t="s">
        <v>125</v>
      </c>
    </row>
    <row r="102" spans="1:4" ht="56" customHeight="1" x14ac:dyDescent="0.2">
      <c r="A102" s="5" t="s">
        <v>210</v>
      </c>
      <c r="B102" s="6" t="s">
        <v>211</v>
      </c>
      <c r="C102" s="6" t="s">
        <v>160</v>
      </c>
      <c r="D102" s="7" t="s">
        <v>125</v>
      </c>
    </row>
    <row r="103" spans="1:4" ht="56" customHeight="1" x14ac:dyDescent="0.2">
      <c r="A103" s="5" t="s">
        <v>212</v>
      </c>
      <c r="B103" s="6" t="s">
        <v>213</v>
      </c>
      <c r="C103" s="6" t="s">
        <v>160</v>
      </c>
      <c r="D103" s="7" t="s">
        <v>125</v>
      </c>
    </row>
    <row r="104" spans="1:4" ht="56" customHeight="1" x14ac:dyDescent="0.2">
      <c r="A104" s="5" t="s">
        <v>214</v>
      </c>
      <c r="B104" s="6" t="s">
        <v>215</v>
      </c>
      <c r="C104" s="6" t="s">
        <v>160</v>
      </c>
      <c r="D104" s="7" t="s">
        <v>125</v>
      </c>
    </row>
    <row r="105" spans="1:4" ht="56" customHeight="1" x14ac:dyDescent="0.2">
      <c r="A105" s="5" t="s">
        <v>216</v>
      </c>
      <c r="B105" s="6" t="s">
        <v>217</v>
      </c>
      <c r="C105" s="6" t="s">
        <v>160</v>
      </c>
      <c r="D105" s="7" t="s">
        <v>125</v>
      </c>
    </row>
    <row r="106" spans="1:4" ht="56" customHeight="1" x14ac:dyDescent="0.2">
      <c r="A106" s="5" t="s">
        <v>218</v>
      </c>
      <c r="B106" s="6" t="s">
        <v>219</v>
      </c>
      <c r="C106" s="6" t="s">
        <v>160</v>
      </c>
      <c r="D106" s="7" t="s">
        <v>125</v>
      </c>
    </row>
    <row r="107" spans="1:4" ht="56" customHeight="1" x14ac:dyDescent="0.2">
      <c r="A107" s="5" t="s">
        <v>220</v>
      </c>
      <c r="B107" s="6" t="s">
        <v>221</v>
      </c>
      <c r="C107" s="6" t="s">
        <v>222</v>
      </c>
      <c r="D107" s="7" t="s">
        <v>125</v>
      </c>
    </row>
    <row r="108" spans="1:4" ht="56" customHeight="1" x14ac:dyDescent="0.2">
      <c r="A108" s="5" t="s">
        <v>223</v>
      </c>
      <c r="B108" s="6" t="s">
        <v>224</v>
      </c>
      <c r="C108" s="6" t="s">
        <v>222</v>
      </c>
      <c r="D108" s="7" t="s">
        <v>125</v>
      </c>
    </row>
    <row r="109" spans="1:4" ht="56" customHeight="1" x14ac:dyDescent="0.2">
      <c r="A109" s="5" t="s">
        <v>225</v>
      </c>
      <c r="B109" s="6" t="s">
        <v>226</v>
      </c>
      <c r="C109" s="6" t="s">
        <v>222</v>
      </c>
      <c r="D109" s="7" t="s">
        <v>125</v>
      </c>
    </row>
    <row r="110" spans="1:4" ht="56" customHeight="1" x14ac:dyDescent="0.2">
      <c r="A110" s="5" t="s">
        <v>227</v>
      </c>
      <c r="B110" s="6" t="s">
        <v>228</v>
      </c>
      <c r="C110" s="6" t="s">
        <v>222</v>
      </c>
      <c r="D110" s="7" t="s">
        <v>125</v>
      </c>
    </row>
    <row r="111" spans="1:4" ht="56" customHeight="1" x14ac:dyDescent="0.2">
      <c r="A111" s="5" t="s">
        <v>229</v>
      </c>
      <c r="B111" s="6" t="s">
        <v>230</v>
      </c>
      <c r="C111" s="6" t="s">
        <v>222</v>
      </c>
      <c r="D111" s="7" t="s">
        <v>125</v>
      </c>
    </row>
    <row r="112" spans="1:4" ht="56" customHeight="1" x14ac:dyDescent="0.2">
      <c r="A112" s="5" t="s">
        <v>231</v>
      </c>
      <c r="B112" s="6" t="s">
        <v>232</v>
      </c>
      <c r="C112" s="6" t="s">
        <v>222</v>
      </c>
      <c r="D112" s="7" t="s">
        <v>125</v>
      </c>
    </row>
    <row r="113" spans="1:4" ht="56" customHeight="1" x14ac:dyDescent="0.2">
      <c r="A113" s="5" t="s">
        <v>233</v>
      </c>
      <c r="B113" s="6" t="s">
        <v>234</v>
      </c>
      <c r="C113" s="6" t="s">
        <v>222</v>
      </c>
      <c r="D113" s="7" t="s">
        <v>125</v>
      </c>
    </row>
    <row r="114" spans="1:4" ht="56" customHeight="1" x14ac:dyDescent="0.2">
      <c r="A114" s="5" t="s">
        <v>235</v>
      </c>
      <c r="B114" s="6" t="s">
        <v>236</v>
      </c>
      <c r="C114" s="6" t="s">
        <v>222</v>
      </c>
      <c r="D114" s="7" t="s">
        <v>125</v>
      </c>
    </row>
    <row r="115" spans="1:4" ht="56" customHeight="1" x14ac:dyDescent="0.2">
      <c r="A115" s="5" t="s">
        <v>237</v>
      </c>
      <c r="B115" s="6" t="s">
        <v>238</v>
      </c>
      <c r="C115" s="6" t="s">
        <v>222</v>
      </c>
      <c r="D115" s="7" t="s">
        <v>125</v>
      </c>
    </row>
    <row r="116" spans="1:4" ht="56" customHeight="1" x14ac:dyDescent="0.2">
      <c r="A116" s="5" t="s">
        <v>239</v>
      </c>
      <c r="B116" s="6" t="s">
        <v>240</v>
      </c>
      <c r="C116" s="6" t="s">
        <v>222</v>
      </c>
      <c r="D116" s="7" t="s">
        <v>125</v>
      </c>
    </row>
    <row r="117" spans="1:4" ht="56" customHeight="1" x14ac:dyDescent="0.2">
      <c r="A117" s="5" t="s">
        <v>241</v>
      </c>
      <c r="B117" s="6" t="s">
        <v>242</v>
      </c>
      <c r="C117" s="6" t="s">
        <v>222</v>
      </c>
      <c r="D117" s="7" t="s">
        <v>125</v>
      </c>
    </row>
    <row r="118" spans="1:4" ht="56" customHeight="1" x14ac:dyDescent="0.2">
      <c r="A118" s="5" t="s">
        <v>243</v>
      </c>
      <c r="B118" s="6" t="s">
        <v>244</v>
      </c>
      <c r="C118" s="6" t="s">
        <v>245</v>
      </c>
      <c r="D118" s="7" t="s">
        <v>125</v>
      </c>
    </row>
    <row r="119" spans="1:4" ht="56" customHeight="1" x14ac:dyDescent="0.2">
      <c r="A119" s="5" t="s">
        <v>243</v>
      </c>
      <c r="B119" s="6" t="s">
        <v>244</v>
      </c>
      <c r="C119" s="6" t="s">
        <v>245</v>
      </c>
      <c r="D119" s="7" t="s">
        <v>125</v>
      </c>
    </row>
    <row r="120" spans="1:4" ht="56" customHeight="1" x14ac:dyDescent="0.2">
      <c r="A120" s="5" t="s">
        <v>246</v>
      </c>
      <c r="B120" s="6" t="s">
        <v>247</v>
      </c>
      <c r="C120" s="6" t="s">
        <v>245</v>
      </c>
      <c r="D120" s="7" t="s">
        <v>125</v>
      </c>
    </row>
    <row r="121" spans="1:4" ht="56" customHeight="1" x14ac:dyDescent="0.2">
      <c r="A121" s="5" t="s">
        <v>248</v>
      </c>
      <c r="B121" s="6" t="s">
        <v>249</v>
      </c>
      <c r="C121" s="6" t="s">
        <v>245</v>
      </c>
      <c r="D121" s="7" t="s">
        <v>125</v>
      </c>
    </row>
    <row r="122" spans="1:4" ht="56" customHeight="1" x14ac:dyDescent="0.2">
      <c r="A122" s="5" t="s">
        <v>250</v>
      </c>
      <c r="B122" s="6" t="s">
        <v>251</v>
      </c>
      <c r="C122" s="6" t="s">
        <v>245</v>
      </c>
      <c r="D122" s="7" t="s">
        <v>125</v>
      </c>
    </row>
    <row r="123" spans="1:4" ht="56" customHeight="1" x14ac:dyDescent="0.2">
      <c r="A123" s="5" t="s">
        <v>252</v>
      </c>
      <c r="B123" s="6" t="s">
        <v>253</v>
      </c>
      <c r="C123" s="6" t="s">
        <v>245</v>
      </c>
      <c r="D123" s="7" t="s">
        <v>125</v>
      </c>
    </row>
    <row r="124" spans="1:4" ht="56" customHeight="1" x14ac:dyDescent="0.2">
      <c r="A124" s="5" t="s">
        <v>254</v>
      </c>
      <c r="B124" s="6" t="s">
        <v>255</v>
      </c>
      <c r="C124" s="6" t="s">
        <v>245</v>
      </c>
      <c r="D124" s="7" t="s">
        <v>125</v>
      </c>
    </row>
    <row r="125" spans="1:4" ht="56" customHeight="1" x14ac:dyDescent="0.2">
      <c r="A125" s="5" t="s">
        <v>256</v>
      </c>
      <c r="B125" s="6" t="s">
        <v>257</v>
      </c>
      <c r="C125" s="6" t="s">
        <v>245</v>
      </c>
      <c r="D125" s="7" t="s">
        <v>125</v>
      </c>
    </row>
    <row r="126" spans="1:4" ht="56" customHeight="1" x14ac:dyDescent="0.2">
      <c r="A126" s="5" t="s">
        <v>258</v>
      </c>
      <c r="B126" s="6" t="s">
        <v>259</v>
      </c>
      <c r="C126" s="6" t="s">
        <v>245</v>
      </c>
      <c r="D126" s="7" t="s">
        <v>125</v>
      </c>
    </row>
    <row r="127" spans="1:4" ht="56" customHeight="1" x14ac:dyDescent="0.2">
      <c r="A127" s="5" t="s">
        <v>260</v>
      </c>
      <c r="B127" s="6" t="s">
        <v>261</v>
      </c>
      <c r="C127" s="6" t="s">
        <v>245</v>
      </c>
      <c r="D127" s="7" t="s">
        <v>125</v>
      </c>
    </row>
    <row r="128" spans="1:4" ht="56" customHeight="1" x14ac:dyDescent="0.2">
      <c r="A128" s="5" t="s">
        <v>262</v>
      </c>
      <c r="B128" s="6" t="s">
        <v>263</v>
      </c>
      <c r="C128" s="6" t="s">
        <v>245</v>
      </c>
      <c r="D128" s="7" t="s">
        <v>125</v>
      </c>
    </row>
    <row r="129" spans="1:4" ht="56" customHeight="1" x14ac:dyDescent="0.2">
      <c r="A129" s="8" t="s">
        <v>264</v>
      </c>
      <c r="B129" s="9" t="s">
        <v>265</v>
      </c>
      <c r="C129" s="9" t="s">
        <v>266</v>
      </c>
      <c r="D129" s="10" t="s">
        <v>267</v>
      </c>
    </row>
    <row r="130" spans="1:4" ht="56" customHeight="1" x14ac:dyDescent="0.2">
      <c r="A130" s="8" t="s">
        <v>268</v>
      </c>
      <c r="B130" s="9" t="s">
        <v>269</v>
      </c>
      <c r="C130" s="9" t="s">
        <v>266</v>
      </c>
      <c r="D130" s="10" t="s">
        <v>267</v>
      </c>
    </row>
    <row r="131" spans="1:4" ht="56" customHeight="1" x14ac:dyDescent="0.2">
      <c r="A131" s="8" t="s">
        <v>270</v>
      </c>
      <c r="B131" s="9" t="s">
        <v>271</v>
      </c>
      <c r="C131" s="9" t="s">
        <v>266</v>
      </c>
      <c r="D131" s="10" t="s">
        <v>267</v>
      </c>
    </row>
    <row r="132" spans="1:4" ht="56" customHeight="1" x14ac:dyDescent="0.2">
      <c r="A132" s="8" t="s">
        <v>272</v>
      </c>
      <c r="B132" s="9" t="s">
        <v>273</v>
      </c>
      <c r="C132" s="9" t="s">
        <v>266</v>
      </c>
      <c r="D132" s="10" t="s">
        <v>267</v>
      </c>
    </row>
    <row r="133" spans="1:4" ht="56" customHeight="1" x14ac:dyDescent="0.2">
      <c r="A133" s="8" t="s">
        <v>274</v>
      </c>
      <c r="B133" s="9" t="s">
        <v>275</v>
      </c>
      <c r="C133" s="9" t="s">
        <v>266</v>
      </c>
      <c r="D133" s="10" t="s">
        <v>267</v>
      </c>
    </row>
    <row r="134" spans="1:4" ht="56" customHeight="1" x14ac:dyDescent="0.2">
      <c r="A134" s="8" t="s">
        <v>276</v>
      </c>
      <c r="B134" s="9" t="s">
        <v>277</v>
      </c>
      <c r="C134" s="9" t="s">
        <v>266</v>
      </c>
      <c r="D134" s="10" t="s">
        <v>267</v>
      </c>
    </row>
    <row r="135" spans="1:4" ht="56" customHeight="1" x14ac:dyDescent="0.2">
      <c r="A135" s="8" t="s">
        <v>278</v>
      </c>
      <c r="B135" s="9" t="s">
        <v>279</v>
      </c>
      <c r="C135" s="9" t="s">
        <v>266</v>
      </c>
      <c r="D135" s="10" t="s">
        <v>267</v>
      </c>
    </row>
    <row r="136" spans="1:4" ht="56" customHeight="1" x14ac:dyDescent="0.2">
      <c r="A136" s="8" t="s">
        <v>280</v>
      </c>
      <c r="B136" s="9" t="s">
        <v>281</v>
      </c>
      <c r="C136" s="9" t="s">
        <v>266</v>
      </c>
      <c r="D136" s="10" t="s">
        <v>267</v>
      </c>
    </row>
    <row r="137" spans="1:4" ht="56" customHeight="1" x14ac:dyDescent="0.2">
      <c r="A137" s="8" t="s">
        <v>282</v>
      </c>
      <c r="B137" s="9" t="s">
        <v>283</v>
      </c>
      <c r="C137" s="9" t="s">
        <v>266</v>
      </c>
      <c r="D137" s="10" t="s">
        <v>267</v>
      </c>
    </row>
    <row r="138" spans="1:4" ht="56" customHeight="1" x14ac:dyDescent="0.2">
      <c r="A138" s="8" t="s">
        <v>284</v>
      </c>
      <c r="B138" s="9" t="s">
        <v>285</v>
      </c>
      <c r="C138" s="9" t="s">
        <v>266</v>
      </c>
      <c r="D138" s="10" t="s">
        <v>267</v>
      </c>
    </row>
    <row r="139" spans="1:4" ht="56" customHeight="1" x14ac:dyDescent="0.2">
      <c r="A139" s="8" t="s">
        <v>286</v>
      </c>
      <c r="B139" s="9" t="s">
        <v>287</v>
      </c>
      <c r="C139" s="9" t="s">
        <v>266</v>
      </c>
      <c r="D139" s="10" t="s">
        <v>267</v>
      </c>
    </row>
    <row r="140" spans="1:4" ht="56" customHeight="1" x14ac:dyDescent="0.2">
      <c r="A140" s="8" t="s">
        <v>288</v>
      </c>
      <c r="B140" s="9" t="s">
        <v>289</v>
      </c>
      <c r="C140" s="9" t="s">
        <v>266</v>
      </c>
      <c r="D140" s="10" t="s">
        <v>267</v>
      </c>
    </row>
    <row r="141" spans="1:4" ht="56" customHeight="1" x14ac:dyDescent="0.2">
      <c r="A141" s="8" t="s">
        <v>290</v>
      </c>
      <c r="B141" s="9" t="s">
        <v>291</v>
      </c>
      <c r="C141" s="9" t="s">
        <v>266</v>
      </c>
      <c r="D141" s="10" t="s">
        <v>267</v>
      </c>
    </row>
    <row r="142" spans="1:4" ht="56" customHeight="1" x14ac:dyDescent="0.2">
      <c r="A142" s="8" t="s">
        <v>292</v>
      </c>
      <c r="B142" s="9" t="s">
        <v>293</v>
      </c>
      <c r="C142" s="9" t="s">
        <v>266</v>
      </c>
      <c r="D142" s="10" t="s">
        <v>267</v>
      </c>
    </row>
    <row r="143" spans="1:4" ht="56" customHeight="1" x14ac:dyDescent="0.2">
      <c r="A143" s="8" t="s">
        <v>294</v>
      </c>
      <c r="B143" s="9" t="s">
        <v>295</v>
      </c>
      <c r="C143" s="9" t="s">
        <v>266</v>
      </c>
      <c r="D143" s="10" t="s">
        <v>267</v>
      </c>
    </row>
    <row r="144" spans="1:4" ht="56" customHeight="1" x14ac:dyDescent="0.2">
      <c r="A144" s="8" t="s">
        <v>296</v>
      </c>
      <c r="B144" s="9" t="s">
        <v>297</v>
      </c>
      <c r="C144" s="9" t="s">
        <v>266</v>
      </c>
      <c r="D144" s="10" t="s">
        <v>267</v>
      </c>
    </row>
    <row r="145" spans="1:4" ht="56" customHeight="1" x14ac:dyDescent="0.2">
      <c r="A145" s="8" t="s">
        <v>298</v>
      </c>
      <c r="B145" s="9" t="s">
        <v>299</v>
      </c>
      <c r="C145" s="9" t="s">
        <v>266</v>
      </c>
      <c r="D145" s="10" t="s">
        <v>267</v>
      </c>
    </row>
    <row r="146" spans="1:4" ht="56" customHeight="1" x14ac:dyDescent="0.2">
      <c r="A146" s="8" t="s">
        <v>300</v>
      </c>
      <c r="B146" s="9" t="s">
        <v>301</v>
      </c>
      <c r="C146" s="9" t="s">
        <v>266</v>
      </c>
      <c r="D146" s="10" t="s">
        <v>267</v>
      </c>
    </row>
    <row r="147" spans="1:4" ht="56" customHeight="1" x14ac:dyDescent="0.2">
      <c r="A147" s="8" t="s">
        <v>302</v>
      </c>
      <c r="B147" s="9" t="s">
        <v>303</v>
      </c>
      <c r="C147" s="9" t="s">
        <v>304</v>
      </c>
      <c r="D147" s="10" t="s">
        <v>267</v>
      </c>
    </row>
    <row r="148" spans="1:4" ht="56" customHeight="1" x14ac:dyDescent="0.2">
      <c r="A148" s="8" t="s">
        <v>305</v>
      </c>
      <c r="B148" s="9" t="s">
        <v>306</v>
      </c>
      <c r="C148" s="9" t="s">
        <v>304</v>
      </c>
      <c r="D148" s="10" t="s">
        <v>267</v>
      </c>
    </row>
    <row r="149" spans="1:4" ht="56" customHeight="1" x14ac:dyDescent="0.2">
      <c r="A149" s="8" t="s">
        <v>307</v>
      </c>
      <c r="B149" s="9" t="s">
        <v>308</v>
      </c>
      <c r="C149" s="9" t="s">
        <v>304</v>
      </c>
      <c r="D149" s="10" t="s">
        <v>267</v>
      </c>
    </row>
    <row r="150" spans="1:4" ht="56" customHeight="1" x14ac:dyDescent="0.2">
      <c r="A150" s="8" t="s">
        <v>309</v>
      </c>
      <c r="B150" s="9" t="s">
        <v>310</v>
      </c>
      <c r="C150" s="9" t="s">
        <v>304</v>
      </c>
      <c r="D150" s="10" t="s">
        <v>267</v>
      </c>
    </row>
    <row r="151" spans="1:4" ht="56" customHeight="1" x14ac:dyDescent="0.2">
      <c r="A151" s="8" t="s">
        <v>311</v>
      </c>
      <c r="B151" s="9" t="s">
        <v>312</v>
      </c>
      <c r="C151" s="9" t="s">
        <v>304</v>
      </c>
      <c r="D151" s="10" t="s">
        <v>267</v>
      </c>
    </row>
    <row r="152" spans="1:4" ht="56" customHeight="1" x14ac:dyDescent="0.2">
      <c r="A152" s="8" t="s">
        <v>313</v>
      </c>
      <c r="B152" s="9" t="s">
        <v>314</v>
      </c>
      <c r="C152" s="9" t="s">
        <v>304</v>
      </c>
      <c r="D152" s="10" t="s">
        <v>267</v>
      </c>
    </row>
    <row r="153" spans="1:4" ht="56" customHeight="1" x14ac:dyDescent="0.2">
      <c r="A153" s="8" t="s">
        <v>315</v>
      </c>
      <c r="B153" s="9" t="s">
        <v>316</v>
      </c>
      <c r="C153" s="9" t="s">
        <v>304</v>
      </c>
      <c r="D153" s="10" t="s">
        <v>267</v>
      </c>
    </row>
    <row r="154" spans="1:4" ht="56" customHeight="1" x14ac:dyDescent="0.2">
      <c r="A154" s="8" t="s">
        <v>317</v>
      </c>
      <c r="B154" s="9" t="s">
        <v>318</v>
      </c>
      <c r="C154" s="9" t="s">
        <v>304</v>
      </c>
      <c r="D154" s="10" t="s">
        <v>267</v>
      </c>
    </row>
    <row r="155" spans="1:4" ht="56" customHeight="1" x14ac:dyDescent="0.2">
      <c r="A155" s="8" t="s">
        <v>319</v>
      </c>
      <c r="B155" s="9" t="s">
        <v>320</v>
      </c>
      <c r="C155" s="9" t="s">
        <v>304</v>
      </c>
      <c r="D155" s="10" t="s">
        <v>267</v>
      </c>
    </row>
    <row r="156" spans="1:4" ht="56" customHeight="1" x14ac:dyDescent="0.2">
      <c r="A156" s="8" t="s">
        <v>319</v>
      </c>
      <c r="B156" s="9" t="s">
        <v>320</v>
      </c>
      <c r="C156" s="9" t="s">
        <v>304</v>
      </c>
      <c r="D156" s="10" t="s">
        <v>267</v>
      </c>
    </row>
    <row r="157" spans="1:4" ht="56" customHeight="1" x14ac:dyDescent="0.2">
      <c r="A157" s="8" t="s">
        <v>321</v>
      </c>
      <c r="B157" s="9" t="s">
        <v>322</v>
      </c>
      <c r="C157" s="9" t="s">
        <v>304</v>
      </c>
      <c r="D157" s="10" t="s">
        <v>267</v>
      </c>
    </row>
    <row r="158" spans="1:4" ht="56" customHeight="1" x14ac:dyDescent="0.2">
      <c r="A158" s="8" t="s">
        <v>323</v>
      </c>
      <c r="B158" s="9" t="s">
        <v>324</v>
      </c>
      <c r="C158" s="9" t="s">
        <v>304</v>
      </c>
      <c r="D158" s="10" t="s">
        <v>267</v>
      </c>
    </row>
    <row r="159" spans="1:4" ht="56" customHeight="1" x14ac:dyDescent="0.2">
      <c r="A159" s="8" t="s">
        <v>325</v>
      </c>
      <c r="B159" s="9" t="s">
        <v>326</v>
      </c>
      <c r="C159" s="9" t="s">
        <v>304</v>
      </c>
      <c r="D159" s="10" t="s">
        <v>267</v>
      </c>
    </row>
    <row r="160" spans="1:4" ht="56" customHeight="1" x14ac:dyDescent="0.2">
      <c r="A160" s="8" t="s">
        <v>327</v>
      </c>
      <c r="B160" s="9" t="s">
        <v>328</v>
      </c>
      <c r="C160" s="9" t="s">
        <v>304</v>
      </c>
      <c r="D160" s="10" t="s">
        <v>267</v>
      </c>
    </row>
    <row r="161" spans="1:4" ht="56" customHeight="1" x14ac:dyDescent="0.2">
      <c r="A161" s="8" t="s">
        <v>329</v>
      </c>
      <c r="B161" s="9" t="s">
        <v>330</v>
      </c>
      <c r="C161" s="9" t="s">
        <v>304</v>
      </c>
      <c r="D161" s="10" t="s">
        <v>267</v>
      </c>
    </row>
    <row r="162" spans="1:4" ht="56" customHeight="1" x14ac:dyDescent="0.2">
      <c r="A162" s="8" t="s">
        <v>331</v>
      </c>
      <c r="B162" s="9" t="s">
        <v>332</v>
      </c>
      <c r="C162" s="9" t="s">
        <v>304</v>
      </c>
      <c r="D162" s="10" t="s">
        <v>267</v>
      </c>
    </row>
    <row r="163" spans="1:4" ht="56" customHeight="1" x14ac:dyDescent="0.2">
      <c r="A163" s="8" t="s">
        <v>333</v>
      </c>
      <c r="B163" s="9" t="s">
        <v>334</v>
      </c>
      <c r="C163" s="9" t="s">
        <v>304</v>
      </c>
      <c r="D163" s="10" t="s">
        <v>267</v>
      </c>
    </row>
    <row r="164" spans="1:4" ht="56" customHeight="1" x14ac:dyDescent="0.2">
      <c r="A164" s="95" t="s">
        <v>335</v>
      </c>
      <c r="B164" s="86" t="s">
        <v>336</v>
      </c>
      <c r="C164" s="86" t="s">
        <v>596</v>
      </c>
      <c r="D164" s="87" t="s">
        <v>477</v>
      </c>
    </row>
    <row r="165" spans="1:4" ht="56" customHeight="1" x14ac:dyDescent="0.2">
      <c r="A165" s="8" t="s">
        <v>337</v>
      </c>
      <c r="B165" s="9" t="s">
        <v>338</v>
      </c>
      <c r="C165" s="9" t="s">
        <v>339</v>
      </c>
      <c r="D165" s="10" t="s">
        <v>267</v>
      </c>
    </row>
    <row r="166" spans="1:4" ht="56" customHeight="1" x14ac:dyDescent="0.2">
      <c r="A166" s="8" t="s">
        <v>340</v>
      </c>
      <c r="B166" s="9" t="s">
        <v>341</v>
      </c>
      <c r="C166" s="9" t="s">
        <v>339</v>
      </c>
      <c r="D166" s="10" t="s">
        <v>267</v>
      </c>
    </row>
    <row r="167" spans="1:4" ht="56" customHeight="1" x14ac:dyDescent="0.2">
      <c r="A167" s="8" t="s">
        <v>342</v>
      </c>
      <c r="B167" s="9" t="s">
        <v>343</v>
      </c>
      <c r="C167" s="9" t="s">
        <v>339</v>
      </c>
      <c r="D167" s="10" t="s">
        <v>267</v>
      </c>
    </row>
    <row r="168" spans="1:4" ht="56" customHeight="1" x14ac:dyDescent="0.2">
      <c r="A168" s="8" t="s">
        <v>344</v>
      </c>
      <c r="B168" s="9" t="s">
        <v>345</v>
      </c>
      <c r="C168" s="9" t="s">
        <v>339</v>
      </c>
      <c r="D168" s="10" t="s">
        <v>267</v>
      </c>
    </row>
    <row r="169" spans="1:4" ht="56" customHeight="1" x14ac:dyDescent="0.2">
      <c r="A169" s="8" t="s">
        <v>346</v>
      </c>
      <c r="B169" s="9" t="s">
        <v>347</v>
      </c>
      <c r="C169" s="9" t="s">
        <v>339</v>
      </c>
      <c r="D169" s="10" t="s">
        <v>267</v>
      </c>
    </row>
    <row r="170" spans="1:4" ht="56" customHeight="1" x14ac:dyDescent="0.2">
      <c r="A170" s="8" t="s">
        <v>348</v>
      </c>
      <c r="B170" s="9" t="s">
        <v>349</v>
      </c>
      <c r="C170" s="9" t="s">
        <v>339</v>
      </c>
      <c r="D170" s="10" t="s">
        <v>267</v>
      </c>
    </row>
    <row r="171" spans="1:4" ht="56" customHeight="1" x14ac:dyDescent="0.2">
      <c r="A171" s="8" t="s">
        <v>350</v>
      </c>
      <c r="B171" s="9" t="s">
        <v>351</v>
      </c>
      <c r="C171" s="9" t="s">
        <v>339</v>
      </c>
      <c r="D171" s="10" t="s">
        <v>267</v>
      </c>
    </row>
    <row r="172" spans="1:4" ht="56" customHeight="1" x14ac:dyDescent="0.2">
      <c r="A172" s="8" t="s">
        <v>352</v>
      </c>
      <c r="B172" s="9" t="s">
        <v>353</v>
      </c>
      <c r="C172" s="9" t="s">
        <v>339</v>
      </c>
      <c r="D172" s="10" t="s">
        <v>267</v>
      </c>
    </row>
    <row r="173" spans="1:4" ht="56" customHeight="1" x14ac:dyDescent="0.2">
      <c r="A173" s="8" t="s">
        <v>354</v>
      </c>
      <c r="B173" s="9" t="s">
        <v>355</v>
      </c>
      <c r="C173" s="9" t="s">
        <v>339</v>
      </c>
      <c r="D173" s="10" t="s">
        <v>267</v>
      </c>
    </row>
    <row r="174" spans="1:4" ht="56" customHeight="1" x14ac:dyDescent="0.2">
      <c r="A174" s="8" t="s">
        <v>356</v>
      </c>
      <c r="B174" s="9" t="s">
        <v>357</v>
      </c>
      <c r="C174" s="9" t="s">
        <v>339</v>
      </c>
      <c r="D174" s="10" t="s">
        <v>267</v>
      </c>
    </row>
    <row r="175" spans="1:4" ht="56" customHeight="1" x14ac:dyDescent="0.2">
      <c r="A175" s="8" t="s">
        <v>358</v>
      </c>
      <c r="B175" s="9" t="s">
        <v>359</v>
      </c>
      <c r="C175" s="9" t="s">
        <v>339</v>
      </c>
      <c r="D175" s="10" t="s">
        <v>267</v>
      </c>
    </row>
    <row r="176" spans="1:4" ht="56" customHeight="1" x14ac:dyDescent="0.2">
      <c r="A176" s="8" t="s">
        <v>360</v>
      </c>
      <c r="B176" s="9" t="s">
        <v>361</v>
      </c>
      <c r="C176" s="9" t="s">
        <v>339</v>
      </c>
      <c r="D176" s="10" t="s">
        <v>267</v>
      </c>
    </row>
    <row r="177" spans="1:4" ht="56" customHeight="1" x14ac:dyDescent="0.2">
      <c r="A177" s="11" t="s">
        <v>362</v>
      </c>
      <c r="B177" s="12" t="s">
        <v>363</v>
      </c>
      <c r="C177" s="12" t="s">
        <v>364</v>
      </c>
      <c r="D177" s="13" t="s">
        <v>365</v>
      </c>
    </row>
    <row r="178" spans="1:4" ht="56" customHeight="1" x14ac:dyDescent="0.2">
      <c r="A178" s="11" t="s">
        <v>366</v>
      </c>
      <c r="B178" s="12" t="s">
        <v>367</v>
      </c>
      <c r="C178" s="12" t="s">
        <v>364</v>
      </c>
      <c r="D178" s="13" t="s">
        <v>365</v>
      </c>
    </row>
    <row r="179" spans="1:4" ht="56" customHeight="1" x14ac:dyDescent="0.2">
      <c r="A179" s="11" t="s">
        <v>368</v>
      </c>
      <c r="B179" s="12" t="s">
        <v>369</v>
      </c>
      <c r="C179" s="12" t="s">
        <v>364</v>
      </c>
      <c r="D179" s="13" t="s">
        <v>365</v>
      </c>
    </row>
    <row r="180" spans="1:4" ht="56" customHeight="1" x14ac:dyDescent="0.2">
      <c r="A180" s="11" t="s">
        <v>370</v>
      </c>
      <c r="B180" s="12" t="s">
        <v>371</v>
      </c>
      <c r="C180" s="12" t="s">
        <v>364</v>
      </c>
      <c r="D180" s="13" t="s">
        <v>365</v>
      </c>
    </row>
    <row r="181" spans="1:4" ht="56" customHeight="1" x14ac:dyDescent="0.2">
      <c r="A181" s="11" t="s">
        <v>372</v>
      </c>
      <c r="B181" s="12" t="s">
        <v>373</v>
      </c>
      <c r="C181" s="12" t="s">
        <v>364</v>
      </c>
      <c r="D181" s="13" t="s">
        <v>365</v>
      </c>
    </row>
    <row r="182" spans="1:4" ht="56" customHeight="1" x14ac:dyDescent="0.2">
      <c r="A182" s="11" t="s">
        <v>374</v>
      </c>
      <c r="B182" s="12" t="s">
        <v>375</v>
      </c>
      <c r="C182" s="12" t="s">
        <v>364</v>
      </c>
      <c r="D182" s="13" t="s">
        <v>365</v>
      </c>
    </row>
    <row r="183" spans="1:4" ht="56" customHeight="1" x14ac:dyDescent="0.2">
      <c r="A183" s="11" t="s">
        <v>376</v>
      </c>
      <c r="B183" s="12" t="s">
        <v>377</v>
      </c>
      <c r="C183" s="12" t="s">
        <v>364</v>
      </c>
      <c r="D183" s="13" t="s">
        <v>365</v>
      </c>
    </row>
    <row r="184" spans="1:4" ht="56" customHeight="1" x14ac:dyDescent="0.2">
      <c r="A184" s="11" t="s">
        <v>378</v>
      </c>
      <c r="B184" s="12" t="s">
        <v>379</v>
      </c>
      <c r="C184" s="12" t="s">
        <v>364</v>
      </c>
      <c r="D184" s="13" t="s">
        <v>365</v>
      </c>
    </row>
    <row r="185" spans="1:4" ht="56" customHeight="1" x14ac:dyDescent="0.2">
      <c r="A185" s="11" t="s">
        <v>380</v>
      </c>
      <c r="B185" s="12" t="s">
        <v>381</v>
      </c>
      <c r="C185" s="12" t="s">
        <v>364</v>
      </c>
      <c r="D185" s="13" t="s">
        <v>365</v>
      </c>
    </row>
    <row r="186" spans="1:4" ht="56" customHeight="1" x14ac:dyDescent="0.2">
      <c r="A186" s="11" t="s">
        <v>382</v>
      </c>
      <c r="B186" s="12" t="s">
        <v>383</v>
      </c>
      <c r="C186" s="12" t="s">
        <v>364</v>
      </c>
      <c r="D186" s="13" t="s">
        <v>365</v>
      </c>
    </row>
    <row r="187" spans="1:4" ht="56" customHeight="1" x14ac:dyDescent="0.2">
      <c r="A187" s="11" t="s">
        <v>384</v>
      </c>
      <c r="B187" s="12" t="s">
        <v>385</v>
      </c>
      <c r="C187" s="12" t="s">
        <v>364</v>
      </c>
      <c r="D187" s="13" t="s">
        <v>365</v>
      </c>
    </row>
    <row r="188" spans="1:4" ht="56" customHeight="1" x14ac:dyDescent="0.2">
      <c r="A188" s="11" t="s">
        <v>67</v>
      </c>
      <c r="B188" s="12" t="s">
        <v>68</v>
      </c>
      <c r="C188" s="12" t="s">
        <v>364</v>
      </c>
      <c r="D188" s="13" t="s">
        <v>365</v>
      </c>
    </row>
    <row r="189" spans="1:4" ht="56" customHeight="1" x14ac:dyDescent="0.2">
      <c r="A189" s="11" t="s">
        <v>386</v>
      </c>
      <c r="B189" s="12" t="s">
        <v>387</v>
      </c>
      <c r="C189" s="12" t="s">
        <v>364</v>
      </c>
      <c r="D189" s="13" t="s">
        <v>365</v>
      </c>
    </row>
    <row r="190" spans="1:4" ht="56" customHeight="1" x14ac:dyDescent="0.2">
      <c r="A190" s="11" t="s">
        <v>388</v>
      </c>
      <c r="B190" s="12" t="s">
        <v>389</v>
      </c>
      <c r="C190" s="12" t="s">
        <v>364</v>
      </c>
      <c r="D190" s="13" t="s">
        <v>365</v>
      </c>
    </row>
    <row r="191" spans="1:4" ht="56" customHeight="1" x14ac:dyDescent="0.2">
      <c r="A191" s="11" t="s">
        <v>390</v>
      </c>
      <c r="B191" s="12" t="s">
        <v>391</v>
      </c>
      <c r="C191" s="12" t="s">
        <v>364</v>
      </c>
      <c r="D191" s="13" t="s">
        <v>365</v>
      </c>
    </row>
    <row r="192" spans="1:4" ht="56" customHeight="1" x14ac:dyDescent="0.2">
      <c r="A192" s="11" t="s">
        <v>392</v>
      </c>
      <c r="B192" s="12" t="s">
        <v>393</v>
      </c>
      <c r="C192" s="12" t="s">
        <v>394</v>
      </c>
      <c r="D192" s="13" t="s">
        <v>365</v>
      </c>
    </row>
    <row r="193" spans="1:4" ht="56" customHeight="1" x14ac:dyDescent="0.2">
      <c r="A193" s="11" t="s">
        <v>395</v>
      </c>
      <c r="B193" s="12" t="s">
        <v>396</v>
      </c>
      <c r="C193" s="12" t="s">
        <v>394</v>
      </c>
      <c r="D193" s="13" t="s">
        <v>365</v>
      </c>
    </row>
    <row r="194" spans="1:4" ht="56" customHeight="1" x14ac:dyDescent="0.2">
      <c r="A194" s="11" t="s">
        <v>397</v>
      </c>
      <c r="B194" s="12" t="s">
        <v>398</v>
      </c>
      <c r="C194" s="12" t="s">
        <v>394</v>
      </c>
      <c r="D194" s="13" t="s">
        <v>365</v>
      </c>
    </row>
    <row r="195" spans="1:4" ht="56" customHeight="1" x14ac:dyDescent="0.2">
      <c r="A195" s="11" t="s">
        <v>399</v>
      </c>
      <c r="B195" s="12" t="s">
        <v>400</v>
      </c>
      <c r="C195" s="12" t="s">
        <v>394</v>
      </c>
      <c r="D195" s="13" t="s">
        <v>365</v>
      </c>
    </row>
    <row r="196" spans="1:4" ht="56" customHeight="1" x14ac:dyDescent="0.2">
      <c r="A196" s="11" t="s">
        <v>401</v>
      </c>
      <c r="B196" s="12" t="s">
        <v>402</v>
      </c>
      <c r="C196" s="12" t="s">
        <v>394</v>
      </c>
      <c r="D196" s="13" t="s">
        <v>365</v>
      </c>
    </row>
    <row r="197" spans="1:4" ht="56" customHeight="1" x14ac:dyDescent="0.2">
      <c r="A197" s="11" t="s">
        <v>403</v>
      </c>
      <c r="B197" s="12" t="s">
        <v>404</v>
      </c>
      <c r="C197" s="12" t="s">
        <v>394</v>
      </c>
      <c r="D197" s="13" t="s">
        <v>365</v>
      </c>
    </row>
    <row r="198" spans="1:4" ht="56" customHeight="1" x14ac:dyDescent="0.2">
      <c r="A198" s="11" t="s">
        <v>405</v>
      </c>
      <c r="B198" s="12" t="s">
        <v>406</v>
      </c>
      <c r="C198" s="12" t="s">
        <v>394</v>
      </c>
      <c r="D198" s="13" t="s">
        <v>365</v>
      </c>
    </row>
    <row r="199" spans="1:4" ht="56" customHeight="1" x14ac:dyDescent="0.2">
      <c r="A199" s="11" t="s">
        <v>407</v>
      </c>
      <c r="B199" s="12" t="s">
        <v>408</v>
      </c>
      <c r="C199" s="12" t="s">
        <v>394</v>
      </c>
      <c r="D199" s="13" t="s">
        <v>365</v>
      </c>
    </row>
    <row r="200" spans="1:4" ht="56" customHeight="1" x14ac:dyDescent="0.2">
      <c r="A200" s="11" t="s">
        <v>409</v>
      </c>
      <c r="B200" s="12" t="s">
        <v>410</v>
      </c>
      <c r="C200" s="12" t="s">
        <v>394</v>
      </c>
      <c r="D200" s="13" t="s">
        <v>365</v>
      </c>
    </row>
    <row r="201" spans="1:4" ht="56" customHeight="1" x14ac:dyDescent="0.2">
      <c r="A201" s="11" t="s">
        <v>411</v>
      </c>
      <c r="B201" s="12" t="s">
        <v>412</v>
      </c>
      <c r="C201" s="12" t="s">
        <v>394</v>
      </c>
      <c r="D201" s="13" t="s">
        <v>365</v>
      </c>
    </row>
    <row r="202" spans="1:4" ht="56" customHeight="1" x14ac:dyDescent="0.2">
      <c r="A202" s="11" t="s">
        <v>413</v>
      </c>
      <c r="B202" s="12" t="s">
        <v>414</v>
      </c>
      <c r="C202" s="12" t="s">
        <v>394</v>
      </c>
      <c r="D202" s="13" t="s">
        <v>365</v>
      </c>
    </row>
    <row r="203" spans="1:4" ht="56" customHeight="1" x14ac:dyDescent="0.2">
      <c r="A203" s="11" t="s">
        <v>415</v>
      </c>
      <c r="B203" s="12" t="s">
        <v>416</v>
      </c>
      <c r="C203" s="12" t="s">
        <v>394</v>
      </c>
      <c r="D203" s="13" t="s">
        <v>365</v>
      </c>
    </row>
    <row r="204" spans="1:4" ht="56" customHeight="1" x14ac:dyDescent="0.2">
      <c r="A204" s="11" t="s">
        <v>417</v>
      </c>
      <c r="B204" s="12" t="s">
        <v>418</v>
      </c>
      <c r="C204" s="12" t="s">
        <v>394</v>
      </c>
      <c r="D204" s="13" t="s">
        <v>365</v>
      </c>
    </row>
    <row r="205" spans="1:4" ht="56" customHeight="1" x14ac:dyDescent="0.2">
      <c r="A205" s="11" t="s">
        <v>419</v>
      </c>
      <c r="B205" s="12" t="s">
        <v>420</v>
      </c>
      <c r="C205" s="12" t="s">
        <v>394</v>
      </c>
      <c r="D205" s="13" t="s">
        <v>365</v>
      </c>
    </row>
    <row r="206" spans="1:4" ht="56" customHeight="1" x14ac:dyDescent="0.2">
      <c r="A206" s="11" t="s">
        <v>421</v>
      </c>
      <c r="B206" s="12" t="s">
        <v>422</v>
      </c>
      <c r="C206" s="12" t="s">
        <v>394</v>
      </c>
      <c r="D206" s="13" t="s">
        <v>365</v>
      </c>
    </row>
    <row r="207" spans="1:4" ht="56" customHeight="1" x14ac:dyDescent="0.2">
      <c r="A207" s="11" t="s">
        <v>423</v>
      </c>
      <c r="B207" s="12" t="s">
        <v>424</v>
      </c>
      <c r="C207" s="12" t="s">
        <v>425</v>
      </c>
      <c r="D207" s="13" t="s">
        <v>365</v>
      </c>
    </row>
    <row r="208" spans="1:4" ht="56" customHeight="1" x14ac:dyDescent="0.2">
      <c r="A208" s="11" t="s">
        <v>426</v>
      </c>
      <c r="B208" s="12" t="s">
        <v>427</v>
      </c>
      <c r="C208" s="12" t="s">
        <v>425</v>
      </c>
      <c r="D208" s="13" t="s">
        <v>365</v>
      </c>
    </row>
    <row r="209" spans="1:4" ht="56" customHeight="1" x14ac:dyDescent="0.2">
      <c r="A209" s="11" t="s">
        <v>428</v>
      </c>
      <c r="B209" s="12" t="s">
        <v>429</v>
      </c>
      <c r="C209" s="12" t="s">
        <v>425</v>
      </c>
      <c r="D209" s="13" t="s">
        <v>365</v>
      </c>
    </row>
    <row r="210" spans="1:4" ht="56" customHeight="1" x14ac:dyDescent="0.2">
      <c r="A210" s="11" t="s">
        <v>430</v>
      </c>
      <c r="B210" s="12" t="s">
        <v>431</v>
      </c>
      <c r="C210" s="12" t="s">
        <v>425</v>
      </c>
      <c r="D210" s="13" t="s">
        <v>365</v>
      </c>
    </row>
    <row r="211" spans="1:4" ht="56" customHeight="1" x14ac:dyDescent="0.2">
      <c r="A211" s="11" t="s">
        <v>432</v>
      </c>
      <c r="B211" s="12" t="s">
        <v>433</v>
      </c>
      <c r="C211" s="12" t="s">
        <v>425</v>
      </c>
      <c r="D211" s="13" t="s">
        <v>365</v>
      </c>
    </row>
    <row r="212" spans="1:4" ht="56" customHeight="1" x14ac:dyDescent="0.2">
      <c r="A212" s="11" t="s">
        <v>434</v>
      </c>
      <c r="B212" s="12" t="s">
        <v>435</v>
      </c>
      <c r="C212" s="12" t="s">
        <v>425</v>
      </c>
      <c r="D212" s="13" t="s">
        <v>365</v>
      </c>
    </row>
    <row r="213" spans="1:4" ht="56" customHeight="1" x14ac:dyDescent="0.2">
      <c r="A213" s="11" t="s">
        <v>436</v>
      </c>
      <c r="B213" s="12" t="s">
        <v>437</v>
      </c>
      <c r="C213" s="12" t="s">
        <v>425</v>
      </c>
      <c r="D213" s="13" t="s">
        <v>365</v>
      </c>
    </row>
    <row r="214" spans="1:4" ht="56" customHeight="1" x14ac:dyDescent="0.2">
      <c r="A214" s="11" t="s">
        <v>438</v>
      </c>
      <c r="B214" s="12" t="s">
        <v>439</v>
      </c>
      <c r="C214" s="12" t="s">
        <v>425</v>
      </c>
      <c r="D214" s="13" t="s">
        <v>365</v>
      </c>
    </row>
    <row r="215" spans="1:4" ht="56" customHeight="1" x14ac:dyDescent="0.2">
      <c r="A215" s="11" t="s">
        <v>440</v>
      </c>
      <c r="B215" s="12" t="s">
        <v>441</v>
      </c>
      <c r="C215" s="12" t="s">
        <v>425</v>
      </c>
      <c r="D215" s="13" t="s">
        <v>365</v>
      </c>
    </row>
    <row r="216" spans="1:4" ht="56" customHeight="1" x14ac:dyDescent="0.2">
      <c r="A216" s="11" t="s">
        <v>442</v>
      </c>
      <c r="B216" s="12" t="s">
        <v>443</v>
      </c>
      <c r="C216" s="12" t="s">
        <v>425</v>
      </c>
      <c r="D216" s="13" t="s">
        <v>365</v>
      </c>
    </row>
    <row r="217" spans="1:4" ht="56" customHeight="1" x14ac:dyDescent="0.2">
      <c r="A217" s="14" t="s">
        <v>444</v>
      </c>
      <c r="B217" s="15" t="s">
        <v>445</v>
      </c>
      <c r="C217" s="15" t="s">
        <v>446</v>
      </c>
      <c r="D217" s="16" t="s">
        <v>447</v>
      </c>
    </row>
    <row r="218" spans="1:4" ht="56" customHeight="1" x14ac:dyDescent="0.2">
      <c r="A218" s="14" t="s">
        <v>448</v>
      </c>
      <c r="B218" s="15" t="s">
        <v>449</v>
      </c>
      <c r="C218" s="15" t="s">
        <v>446</v>
      </c>
      <c r="D218" s="16" t="s">
        <v>447</v>
      </c>
    </row>
    <row r="219" spans="1:4" ht="56" customHeight="1" x14ac:dyDescent="0.2">
      <c r="A219" s="14" t="s">
        <v>448</v>
      </c>
      <c r="B219" s="15" t="s">
        <v>449</v>
      </c>
      <c r="C219" s="15" t="s">
        <v>446</v>
      </c>
      <c r="D219" s="16" t="s">
        <v>447</v>
      </c>
    </row>
    <row r="220" spans="1:4" ht="56" customHeight="1" x14ac:dyDescent="0.2">
      <c r="A220" s="14" t="s">
        <v>450</v>
      </c>
      <c r="B220" s="15" t="s">
        <v>451</v>
      </c>
      <c r="C220" s="15" t="s">
        <v>446</v>
      </c>
      <c r="D220" s="16" t="s">
        <v>447</v>
      </c>
    </row>
    <row r="221" spans="1:4" ht="56" customHeight="1" x14ac:dyDescent="0.2">
      <c r="A221" s="14" t="s">
        <v>452</v>
      </c>
      <c r="B221" s="15" t="s">
        <v>453</v>
      </c>
      <c r="C221" s="15" t="s">
        <v>446</v>
      </c>
      <c r="D221" s="16" t="s">
        <v>447</v>
      </c>
    </row>
    <row r="222" spans="1:4" ht="56" customHeight="1" x14ac:dyDescent="0.2">
      <c r="A222" s="14" t="s">
        <v>454</v>
      </c>
      <c r="B222" s="15" t="s">
        <v>455</v>
      </c>
      <c r="C222" s="15" t="s">
        <v>446</v>
      </c>
      <c r="D222" s="16" t="s">
        <v>447</v>
      </c>
    </row>
    <row r="223" spans="1:4" ht="56" customHeight="1" x14ac:dyDescent="0.2">
      <c r="A223" s="14" t="s">
        <v>456</v>
      </c>
      <c r="B223" s="15" t="s">
        <v>457</v>
      </c>
      <c r="C223" s="15" t="s">
        <v>446</v>
      </c>
      <c r="D223" s="16" t="s">
        <v>447</v>
      </c>
    </row>
    <row r="224" spans="1:4" ht="56" customHeight="1" x14ac:dyDescent="0.2">
      <c r="A224" s="14" t="s">
        <v>458</v>
      </c>
      <c r="B224" s="15" t="s">
        <v>459</v>
      </c>
      <c r="C224" s="15" t="s">
        <v>446</v>
      </c>
      <c r="D224" s="16" t="s">
        <v>447</v>
      </c>
    </row>
    <row r="225" spans="1:4" ht="56" customHeight="1" x14ac:dyDescent="0.2">
      <c r="A225" s="14" t="s">
        <v>460</v>
      </c>
      <c r="B225" s="96" t="s">
        <v>461</v>
      </c>
      <c r="C225" s="96" t="s">
        <v>394</v>
      </c>
      <c r="D225" s="13" t="s">
        <v>365</v>
      </c>
    </row>
    <row r="226" spans="1:4" ht="56" customHeight="1" x14ac:dyDescent="0.2">
      <c r="A226" s="14" t="s">
        <v>462</v>
      </c>
      <c r="B226" s="15" t="s">
        <v>463</v>
      </c>
      <c r="C226" s="15" t="s">
        <v>446</v>
      </c>
      <c r="D226" s="16" t="s">
        <v>447</v>
      </c>
    </row>
    <row r="227" spans="1:4" ht="56" customHeight="1" x14ac:dyDescent="0.2">
      <c r="A227" s="14" t="s">
        <v>464</v>
      </c>
      <c r="B227" s="15" t="s">
        <v>465</v>
      </c>
      <c r="C227" s="15" t="s">
        <v>446</v>
      </c>
      <c r="D227" s="16" t="s">
        <v>447</v>
      </c>
    </row>
    <row r="228" spans="1:4" ht="56" customHeight="1" x14ac:dyDescent="0.2">
      <c r="A228" s="14" t="s">
        <v>466</v>
      </c>
      <c r="B228" s="15" t="s">
        <v>467</v>
      </c>
      <c r="C228" s="15" t="s">
        <v>446</v>
      </c>
      <c r="D228" s="16" t="s">
        <v>447</v>
      </c>
    </row>
    <row r="229" spans="1:4" ht="56" customHeight="1" x14ac:dyDescent="0.2">
      <c r="A229" s="14" t="s">
        <v>468</v>
      </c>
      <c r="B229" s="15" t="s">
        <v>469</v>
      </c>
      <c r="C229" s="15" t="s">
        <v>446</v>
      </c>
      <c r="D229" s="16" t="s">
        <v>447</v>
      </c>
    </row>
    <row r="230" spans="1:4" ht="56" customHeight="1" x14ac:dyDescent="0.2">
      <c r="A230" s="14" t="s">
        <v>470</v>
      </c>
      <c r="B230" s="15" t="s">
        <v>471</v>
      </c>
      <c r="C230" s="15" t="s">
        <v>446</v>
      </c>
      <c r="D230" s="16" t="s">
        <v>447</v>
      </c>
    </row>
    <row r="231" spans="1:4" ht="56" customHeight="1" x14ac:dyDescent="0.2">
      <c r="A231" s="14" t="s">
        <v>472</v>
      </c>
      <c r="B231" s="15" t="s">
        <v>473</v>
      </c>
      <c r="C231" s="15" t="s">
        <v>446</v>
      </c>
      <c r="D231" s="16" t="s">
        <v>447</v>
      </c>
    </row>
    <row r="232" spans="1:4" ht="56" customHeight="1" x14ac:dyDescent="0.2">
      <c r="A232" s="17" t="s">
        <v>474</v>
      </c>
      <c r="B232" s="18" t="s">
        <v>475</v>
      </c>
      <c r="C232" s="18" t="s">
        <v>476</v>
      </c>
      <c r="D232" s="19" t="s">
        <v>477</v>
      </c>
    </row>
    <row r="233" spans="1:4" ht="56" customHeight="1" x14ac:dyDescent="0.2">
      <c r="A233" s="17" t="s">
        <v>478</v>
      </c>
      <c r="B233" s="18" t="s">
        <v>479</v>
      </c>
      <c r="C233" s="18" t="s">
        <v>596</v>
      </c>
      <c r="D233" s="19" t="s">
        <v>477</v>
      </c>
    </row>
    <row r="234" spans="1:4" ht="56" customHeight="1" x14ac:dyDescent="0.2">
      <c r="A234" s="17" t="s">
        <v>480</v>
      </c>
      <c r="B234" s="18" t="s">
        <v>481</v>
      </c>
      <c r="C234" s="18" t="s">
        <v>476</v>
      </c>
      <c r="D234" s="19" t="s">
        <v>477</v>
      </c>
    </row>
    <row r="235" spans="1:4" ht="56" customHeight="1" x14ac:dyDescent="0.2">
      <c r="A235" s="17" t="s">
        <v>482</v>
      </c>
      <c r="B235" s="18" t="s">
        <v>483</v>
      </c>
      <c r="C235" s="18" t="s">
        <v>596</v>
      </c>
      <c r="D235" s="19" t="s">
        <v>477</v>
      </c>
    </row>
    <row r="236" spans="1:4" ht="56" customHeight="1" x14ac:dyDescent="0.2">
      <c r="A236" s="17" t="s">
        <v>484</v>
      </c>
      <c r="B236" s="18" t="s">
        <v>485</v>
      </c>
      <c r="C236" s="18" t="s">
        <v>476</v>
      </c>
      <c r="D236" s="19" t="s">
        <v>477</v>
      </c>
    </row>
    <row r="237" spans="1:4" ht="56" customHeight="1" x14ac:dyDescent="0.2">
      <c r="A237" s="17" t="s">
        <v>486</v>
      </c>
      <c r="B237" s="18" t="s">
        <v>487</v>
      </c>
      <c r="C237" s="18" t="s">
        <v>476</v>
      </c>
      <c r="D237" s="19" t="s">
        <v>477</v>
      </c>
    </row>
    <row r="238" spans="1:4" ht="56" customHeight="1" x14ac:dyDescent="0.2">
      <c r="A238" s="17" t="s">
        <v>488</v>
      </c>
      <c r="B238" s="18" t="s">
        <v>489</v>
      </c>
      <c r="C238" s="18" t="s">
        <v>476</v>
      </c>
      <c r="D238" s="19" t="s">
        <v>477</v>
      </c>
    </row>
    <row r="239" spans="1:4" ht="56" customHeight="1" x14ac:dyDescent="0.2">
      <c r="A239" s="17" t="s">
        <v>490</v>
      </c>
      <c r="B239" s="18" t="s">
        <v>491</v>
      </c>
      <c r="C239" s="18" t="s">
        <v>476</v>
      </c>
      <c r="D239" s="19" t="s">
        <v>477</v>
      </c>
    </row>
    <row r="240" spans="1:4" ht="56" customHeight="1" x14ac:dyDescent="0.2">
      <c r="A240" s="17" t="s">
        <v>492</v>
      </c>
      <c r="B240" s="18" t="s">
        <v>493</v>
      </c>
      <c r="C240" s="18" t="s">
        <v>476</v>
      </c>
      <c r="D240" s="19" t="s">
        <v>477</v>
      </c>
    </row>
    <row r="241" spans="1:4" ht="56" customHeight="1" x14ac:dyDescent="0.2">
      <c r="A241" s="17" t="s">
        <v>494</v>
      </c>
      <c r="B241" s="18" t="s">
        <v>495</v>
      </c>
      <c r="C241" s="18" t="s">
        <v>596</v>
      </c>
      <c r="D241" s="19" t="s">
        <v>477</v>
      </c>
    </row>
    <row r="242" spans="1:4" ht="56" customHeight="1" x14ac:dyDescent="0.2">
      <c r="A242" s="17" t="s">
        <v>496</v>
      </c>
      <c r="B242" s="18" t="s">
        <v>497</v>
      </c>
      <c r="C242" s="18" t="s">
        <v>476</v>
      </c>
      <c r="D242" s="19" t="s">
        <v>477</v>
      </c>
    </row>
    <row r="243" spans="1:4" ht="56" customHeight="1" x14ac:dyDescent="0.2">
      <c r="A243" s="17" t="s">
        <v>498</v>
      </c>
      <c r="B243" s="18" t="s">
        <v>499</v>
      </c>
      <c r="C243" s="18" t="s">
        <v>476</v>
      </c>
      <c r="D243" s="19" t="s">
        <v>477</v>
      </c>
    </row>
    <row r="244" spans="1:4" ht="56" customHeight="1" x14ac:dyDescent="0.2">
      <c r="A244" s="17" t="s">
        <v>500</v>
      </c>
      <c r="B244" s="18" t="s">
        <v>501</v>
      </c>
      <c r="C244" s="18" t="s">
        <v>476</v>
      </c>
      <c r="D244" s="19" t="s">
        <v>477</v>
      </c>
    </row>
    <row r="245" spans="1:4" ht="56" customHeight="1" x14ac:dyDescent="0.2">
      <c r="A245" s="17" t="s">
        <v>502</v>
      </c>
      <c r="B245" s="18" t="s">
        <v>503</v>
      </c>
      <c r="C245" s="18" t="s">
        <v>476</v>
      </c>
      <c r="D245" s="19" t="s">
        <v>477</v>
      </c>
    </row>
    <row r="246" spans="1:4" ht="56" customHeight="1" x14ac:dyDescent="0.2">
      <c r="A246" s="17" t="s">
        <v>504</v>
      </c>
      <c r="B246" s="18" t="s">
        <v>505</v>
      </c>
      <c r="C246" s="18" t="s">
        <v>596</v>
      </c>
      <c r="D246" s="19" t="s">
        <v>477</v>
      </c>
    </row>
    <row r="247" spans="1:4" ht="56" customHeight="1" x14ac:dyDescent="0.2">
      <c r="A247" s="17" t="s">
        <v>506</v>
      </c>
      <c r="B247" s="18" t="s">
        <v>507</v>
      </c>
      <c r="C247" s="18" t="s">
        <v>508</v>
      </c>
      <c r="D247" s="19" t="s">
        <v>477</v>
      </c>
    </row>
    <row r="248" spans="1:4" ht="56" customHeight="1" x14ac:dyDescent="0.2">
      <c r="A248" s="17" t="s">
        <v>509</v>
      </c>
      <c r="B248" s="18" t="s">
        <v>510</v>
      </c>
      <c r="C248" s="18" t="s">
        <v>508</v>
      </c>
      <c r="D248" s="19" t="s">
        <v>477</v>
      </c>
    </row>
    <row r="249" spans="1:4" ht="56" customHeight="1" x14ac:dyDescent="0.2">
      <c r="A249" s="17" t="s">
        <v>511</v>
      </c>
      <c r="B249" s="18" t="s">
        <v>512</v>
      </c>
      <c r="C249" s="18" t="s">
        <v>508</v>
      </c>
      <c r="D249" s="19" t="s">
        <v>477</v>
      </c>
    </row>
    <row r="250" spans="1:4" ht="56" customHeight="1" x14ac:dyDescent="0.2">
      <c r="A250" s="17" t="s">
        <v>509</v>
      </c>
      <c r="B250" s="18" t="s">
        <v>510</v>
      </c>
      <c r="C250" s="18" t="s">
        <v>508</v>
      </c>
      <c r="D250" s="19" t="s">
        <v>477</v>
      </c>
    </row>
    <row r="251" spans="1:4" ht="56" customHeight="1" x14ac:dyDescent="0.2">
      <c r="A251" s="17" t="s">
        <v>513</v>
      </c>
      <c r="B251" s="18" t="s">
        <v>514</v>
      </c>
      <c r="C251" s="18" t="s">
        <v>508</v>
      </c>
      <c r="D251" s="19" t="s">
        <v>477</v>
      </c>
    </row>
    <row r="252" spans="1:4" ht="56" customHeight="1" x14ac:dyDescent="0.2">
      <c r="A252" s="17" t="s">
        <v>515</v>
      </c>
      <c r="B252" s="18" t="s">
        <v>516</v>
      </c>
      <c r="C252" s="18" t="s">
        <v>508</v>
      </c>
      <c r="D252" s="19" t="s">
        <v>477</v>
      </c>
    </row>
    <row r="253" spans="1:4" ht="56" customHeight="1" x14ac:dyDescent="0.2">
      <c r="A253" s="17" t="s">
        <v>517</v>
      </c>
      <c r="B253" s="18" t="s">
        <v>518</v>
      </c>
      <c r="C253" s="18" t="s">
        <v>508</v>
      </c>
      <c r="D253" s="19" t="s">
        <v>477</v>
      </c>
    </row>
    <row r="254" spans="1:4" ht="56" customHeight="1" x14ac:dyDescent="0.2">
      <c r="A254" s="17" t="s">
        <v>519</v>
      </c>
      <c r="B254" s="18" t="s">
        <v>520</v>
      </c>
      <c r="C254" s="18" t="s">
        <v>508</v>
      </c>
      <c r="D254" s="19" t="s">
        <v>477</v>
      </c>
    </row>
    <row r="255" spans="1:4" ht="56" customHeight="1" x14ac:dyDescent="0.2">
      <c r="A255" s="17" t="s">
        <v>521</v>
      </c>
      <c r="B255" s="18" t="s">
        <v>522</v>
      </c>
      <c r="C255" s="18" t="s">
        <v>523</v>
      </c>
      <c r="D255" s="19" t="s">
        <v>477</v>
      </c>
    </row>
    <row r="256" spans="1:4" ht="56" customHeight="1" x14ac:dyDescent="0.2">
      <c r="A256" s="17" t="s">
        <v>524</v>
      </c>
      <c r="B256" s="18" t="s">
        <v>525</v>
      </c>
      <c r="C256" s="18" t="s">
        <v>523</v>
      </c>
      <c r="D256" s="19" t="s">
        <v>477</v>
      </c>
    </row>
    <row r="257" spans="1:4" ht="56" customHeight="1" x14ac:dyDescent="0.2">
      <c r="A257" s="17" t="s">
        <v>526</v>
      </c>
      <c r="B257" s="18" t="s">
        <v>527</v>
      </c>
      <c r="C257" s="18" t="s">
        <v>523</v>
      </c>
      <c r="D257" s="19" t="s">
        <v>477</v>
      </c>
    </row>
    <row r="258" spans="1:4" ht="56" customHeight="1" x14ac:dyDescent="0.2">
      <c r="A258" s="17" t="s">
        <v>528</v>
      </c>
      <c r="B258" s="18" t="s">
        <v>529</v>
      </c>
      <c r="C258" s="18" t="s">
        <v>523</v>
      </c>
      <c r="D258" s="19" t="s">
        <v>477</v>
      </c>
    </row>
    <row r="259" spans="1:4" ht="56" customHeight="1" x14ac:dyDescent="0.2">
      <c r="A259" s="17" t="s">
        <v>530</v>
      </c>
      <c r="B259" s="18" t="s">
        <v>531</v>
      </c>
      <c r="C259" s="18" t="s">
        <v>523</v>
      </c>
      <c r="D259" s="19" t="s">
        <v>477</v>
      </c>
    </row>
    <row r="260" spans="1:4" ht="56" customHeight="1" x14ac:dyDescent="0.2">
      <c r="A260" s="17" t="s">
        <v>532</v>
      </c>
      <c r="B260" s="18" t="s">
        <v>533</v>
      </c>
      <c r="C260" s="18" t="s">
        <v>523</v>
      </c>
      <c r="D260" s="19" t="s">
        <v>477</v>
      </c>
    </row>
  </sheetData>
  <autoFilter ref="A1:D260"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H56"/>
  <sheetViews>
    <sheetView topLeftCell="X7" zoomScaleNormal="110" workbookViewId="0">
      <selection activeCell="A11" sqref="A11"/>
    </sheetView>
  </sheetViews>
  <sheetFormatPr baseColWidth="10" defaultColWidth="8.83203125" defaultRowHeight="15" x14ac:dyDescent="0.2"/>
  <cols>
    <col min="1" max="1" width="44" customWidth="1"/>
    <col min="2" max="2" width="66.1640625" customWidth="1"/>
    <col min="3" max="3" width="24.6640625" customWidth="1"/>
    <col min="4" max="4" width="9.5" customWidth="1"/>
    <col min="6" max="23" width="12.1640625" customWidth="1"/>
    <col min="27" max="27" width="24.1640625" customWidth="1"/>
    <col min="28" max="105" width="3.1640625" customWidth="1"/>
    <col min="106" max="111" width="4.6640625" customWidth="1"/>
  </cols>
  <sheetData>
    <row r="1" spans="1:23" ht="20" customHeight="1" x14ac:dyDescent="0.2">
      <c r="A1" s="20" t="s">
        <v>534</v>
      </c>
      <c r="B1" s="21"/>
    </row>
    <row r="2" spans="1:23" ht="30" customHeight="1" x14ac:dyDescent="0.2">
      <c r="A2" s="22" t="s">
        <v>7</v>
      </c>
      <c r="B2" s="23" t="s">
        <v>535</v>
      </c>
    </row>
    <row r="3" spans="1:23" ht="30" customHeight="1" x14ac:dyDescent="0.2">
      <c r="A3" s="24" t="s">
        <v>125</v>
      </c>
      <c r="B3" s="25" t="s">
        <v>536</v>
      </c>
    </row>
    <row r="4" spans="1:23" ht="30" customHeight="1" x14ac:dyDescent="0.2">
      <c r="A4" s="26" t="s">
        <v>267</v>
      </c>
      <c r="B4" s="27" t="s">
        <v>537</v>
      </c>
    </row>
    <row r="5" spans="1:23" ht="30" customHeight="1" x14ac:dyDescent="0.2">
      <c r="A5" s="28" t="s">
        <v>365</v>
      </c>
      <c r="B5" s="29" t="s">
        <v>538</v>
      </c>
    </row>
    <row r="6" spans="1:23" ht="20" customHeight="1" x14ac:dyDescent="0.2">
      <c r="A6" s="30" t="s">
        <v>447</v>
      </c>
      <c r="B6" s="31" t="s">
        <v>824</v>
      </c>
    </row>
    <row r="7" spans="1:23" ht="30" customHeight="1" x14ac:dyDescent="0.2">
      <c r="A7" s="32" t="s">
        <v>477</v>
      </c>
      <c r="B7" s="33" t="s">
        <v>823</v>
      </c>
    </row>
    <row r="8" spans="1:23" ht="20" customHeight="1" x14ac:dyDescent="0.2">
      <c r="A8" s="34"/>
      <c r="B8" s="35"/>
    </row>
    <row r="9" spans="1:23" ht="20" customHeight="1" x14ac:dyDescent="0.2">
      <c r="A9" s="20" t="s">
        <v>539</v>
      </c>
      <c r="B9" s="21"/>
    </row>
    <row r="10" spans="1:23" ht="30" customHeight="1" x14ac:dyDescent="0.2">
      <c r="A10" s="36" t="s">
        <v>0</v>
      </c>
      <c r="B10" s="37" t="s">
        <v>540</v>
      </c>
    </row>
    <row r="11" spans="1:23" ht="30" customHeight="1" x14ac:dyDescent="0.2">
      <c r="A11" s="36" t="s">
        <v>1</v>
      </c>
      <c r="B11" s="37" t="s">
        <v>541</v>
      </c>
      <c r="F11" t="s">
        <v>1072</v>
      </c>
    </row>
    <row r="12" spans="1:23" ht="30" customHeight="1" x14ac:dyDescent="0.2">
      <c r="A12" s="36" t="s">
        <v>2</v>
      </c>
      <c r="B12" s="37" t="s">
        <v>542</v>
      </c>
    </row>
    <row r="13" spans="1:23" ht="20" customHeight="1" x14ac:dyDescent="0.2">
      <c r="A13" s="36" t="s">
        <v>3</v>
      </c>
      <c r="B13" s="37" t="s">
        <v>543</v>
      </c>
    </row>
    <row r="15" spans="1:23" ht="16" x14ac:dyDescent="0.2">
      <c r="O15" s="99">
        <v>1</v>
      </c>
      <c r="P15" s="100">
        <v>2</v>
      </c>
      <c r="Q15" s="101">
        <v>3</v>
      </c>
      <c r="R15" s="102">
        <v>4</v>
      </c>
      <c r="S15" s="103">
        <v>5</v>
      </c>
      <c r="T15" s="104">
        <v>6</v>
      </c>
      <c r="U15" s="105"/>
      <c r="V15" s="106">
        <v>9</v>
      </c>
      <c r="W15" s="107" t="s">
        <v>1049</v>
      </c>
    </row>
    <row r="16" spans="1:23" ht="16" thickBot="1" x14ac:dyDescent="0.25">
      <c r="A16" s="330" t="s">
        <v>1067</v>
      </c>
      <c r="B16" s="331" t="s">
        <v>549</v>
      </c>
    </row>
    <row r="17" spans="1:112" ht="26" customHeight="1" x14ac:dyDescent="0.2">
      <c r="A17" s="341" t="s">
        <v>858</v>
      </c>
      <c r="B17" s="198" t="s">
        <v>1064</v>
      </c>
      <c r="C17" s="362" t="s">
        <v>1070</v>
      </c>
      <c r="D17" s="364"/>
      <c r="E17" s="365"/>
      <c r="F17" s="366" t="s">
        <v>7</v>
      </c>
      <c r="G17" s="367"/>
      <c r="H17" s="368"/>
      <c r="I17" s="367" t="s">
        <v>125</v>
      </c>
      <c r="J17" s="367"/>
      <c r="K17" s="367"/>
      <c r="L17" s="367"/>
      <c r="M17" s="366" t="s">
        <v>267</v>
      </c>
      <c r="N17" s="367"/>
      <c r="O17" s="368"/>
      <c r="P17" s="367" t="s">
        <v>365</v>
      </c>
      <c r="Q17" s="367"/>
      <c r="R17" s="367"/>
      <c r="S17" s="366" t="s">
        <v>447</v>
      </c>
      <c r="T17" s="368"/>
      <c r="U17" s="367" t="s">
        <v>477</v>
      </c>
      <c r="V17" s="367"/>
      <c r="W17" s="368"/>
      <c r="AA17" s="265"/>
      <c r="AB17" s="355" t="s">
        <v>573</v>
      </c>
      <c r="AC17" s="355"/>
      <c r="AD17" s="355"/>
      <c r="AE17" s="355"/>
      <c r="AF17" s="355"/>
      <c r="AG17" s="355"/>
      <c r="AH17" s="355" t="s">
        <v>618</v>
      </c>
      <c r="AI17" s="355"/>
      <c r="AJ17" s="355"/>
      <c r="AK17" s="355"/>
      <c r="AL17" s="355"/>
      <c r="AM17" s="355"/>
      <c r="AN17" s="356" t="s">
        <v>1050</v>
      </c>
      <c r="AO17" s="356"/>
      <c r="AP17" s="356"/>
      <c r="AQ17" s="356"/>
      <c r="AR17" s="356"/>
      <c r="AS17" s="356"/>
      <c r="AT17" s="357" t="s">
        <v>565</v>
      </c>
      <c r="AU17" s="357"/>
      <c r="AV17" s="357"/>
      <c r="AW17" s="357"/>
      <c r="AX17" s="357"/>
      <c r="AY17" s="357"/>
      <c r="AZ17" s="355" t="s">
        <v>583</v>
      </c>
      <c r="BA17" s="355"/>
      <c r="BB17" s="355"/>
      <c r="BC17" s="355"/>
      <c r="BD17" s="355"/>
      <c r="BE17" s="355"/>
      <c r="BF17" s="356" t="s">
        <v>571</v>
      </c>
      <c r="BG17" s="356"/>
      <c r="BH17" s="356"/>
      <c r="BI17" s="356"/>
      <c r="BJ17" s="356"/>
      <c r="BK17" s="356"/>
      <c r="BL17" s="358" t="s">
        <v>1051</v>
      </c>
      <c r="BM17" s="358"/>
      <c r="BN17" s="358"/>
      <c r="BO17" s="358"/>
      <c r="BP17" s="358"/>
      <c r="BQ17" s="358"/>
      <c r="BR17" s="355" t="s">
        <v>578</v>
      </c>
      <c r="BS17" s="355"/>
      <c r="BT17" s="355"/>
      <c r="BU17" s="355"/>
      <c r="BV17" s="355"/>
      <c r="BW17" s="355"/>
      <c r="BX17" s="355" t="s">
        <v>1052</v>
      </c>
      <c r="BY17" s="355"/>
      <c r="BZ17" s="355"/>
      <c r="CA17" s="355"/>
      <c r="CB17" s="355"/>
      <c r="CC17" s="355"/>
      <c r="CD17" s="358" t="s">
        <v>588</v>
      </c>
      <c r="CE17" s="358"/>
      <c r="CF17" s="358"/>
      <c r="CG17" s="358"/>
      <c r="CH17" s="358"/>
      <c r="CI17" s="358"/>
      <c r="CJ17" s="357" t="s">
        <v>1053</v>
      </c>
      <c r="CK17" s="357"/>
      <c r="CL17" s="357"/>
      <c r="CM17" s="357"/>
      <c r="CN17" s="357"/>
      <c r="CO17" s="357"/>
      <c r="CP17" s="356" t="s">
        <v>599</v>
      </c>
      <c r="CQ17" s="356"/>
      <c r="CR17" s="356"/>
      <c r="CS17" s="356"/>
      <c r="CT17" s="356"/>
      <c r="CU17" s="356"/>
      <c r="CV17" s="358" t="s">
        <v>1054</v>
      </c>
      <c r="CW17" s="358"/>
      <c r="CX17" s="358"/>
      <c r="CY17" s="358"/>
      <c r="CZ17" s="358"/>
      <c r="DA17" s="359"/>
      <c r="DB17" s="293"/>
    </row>
    <row r="18" spans="1:112" ht="54" customHeight="1" thickBot="1" x14ac:dyDescent="0.25">
      <c r="A18" s="342"/>
      <c r="B18" s="198" t="s">
        <v>1065</v>
      </c>
      <c r="C18" s="363"/>
      <c r="D18" s="108"/>
      <c r="E18" s="109"/>
      <c r="F18" s="110" t="s">
        <v>827</v>
      </c>
      <c r="G18" s="111" t="s">
        <v>58</v>
      </c>
      <c r="H18" s="112" t="s">
        <v>826</v>
      </c>
      <c r="I18" s="113" t="s">
        <v>828</v>
      </c>
      <c r="J18" s="111" t="s">
        <v>160</v>
      </c>
      <c r="K18" s="111" t="s">
        <v>222</v>
      </c>
      <c r="L18" s="114" t="s">
        <v>829</v>
      </c>
      <c r="M18" s="110" t="s">
        <v>830</v>
      </c>
      <c r="N18" s="111" t="s">
        <v>831</v>
      </c>
      <c r="O18" s="112" t="s">
        <v>832</v>
      </c>
      <c r="P18" s="113" t="s">
        <v>833</v>
      </c>
      <c r="Q18" s="111" t="s">
        <v>394</v>
      </c>
      <c r="R18" s="114" t="s">
        <v>834</v>
      </c>
      <c r="S18" s="110" t="s">
        <v>835</v>
      </c>
      <c r="T18" s="112" t="s">
        <v>836</v>
      </c>
      <c r="U18" s="113" t="s">
        <v>837</v>
      </c>
      <c r="V18" s="111" t="s">
        <v>838</v>
      </c>
      <c r="W18" s="112" t="s">
        <v>839</v>
      </c>
      <c r="X18" s="349" t="s">
        <v>850</v>
      </c>
      <c r="Y18" s="350"/>
      <c r="AA18" s="229"/>
      <c r="AB18" s="351" t="s">
        <v>854</v>
      </c>
      <c r="AC18" s="351"/>
      <c r="AD18" s="351" t="s">
        <v>867</v>
      </c>
      <c r="AE18" s="351"/>
      <c r="AF18" s="351" t="s">
        <v>879</v>
      </c>
      <c r="AG18" s="351"/>
      <c r="AH18" s="351" t="s">
        <v>854</v>
      </c>
      <c r="AI18" s="351"/>
      <c r="AJ18" s="351" t="s">
        <v>867</v>
      </c>
      <c r="AK18" s="351"/>
      <c r="AL18" s="351" t="s">
        <v>879</v>
      </c>
      <c r="AM18" s="351"/>
      <c r="AN18" s="352" t="s">
        <v>854</v>
      </c>
      <c r="AO18" s="352"/>
      <c r="AP18" s="352" t="s">
        <v>867</v>
      </c>
      <c r="AQ18" s="352"/>
      <c r="AR18" s="352" t="s">
        <v>879</v>
      </c>
      <c r="AS18" s="352"/>
      <c r="AT18" s="353" t="s">
        <v>854</v>
      </c>
      <c r="AU18" s="353"/>
      <c r="AV18" s="353" t="s">
        <v>867</v>
      </c>
      <c r="AW18" s="353"/>
      <c r="AX18" s="353" t="s">
        <v>879</v>
      </c>
      <c r="AY18" s="353"/>
      <c r="AZ18" s="351" t="s">
        <v>854</v>
      </c>
      <c r="BA18" s="351"/>
      <c r="BB18" s="351" t="s">
        <v>867</v>
      </c>
      <c r="BC18" s="351"/>
      <c r="BD18" s="351" t="s">
        <v>879</v>
      </c>
      <c r="BE18" s="351"/>
      <c r="BF18" s="352" t="s">
        <v>854</v>
      </c>
      <c r="BG18" s="352"/>
      <c r="BH18" s="352" t="s">
        <v>867</v>
      </c>
      <c r="BI18" s="352"/>
      <c r="BJ18" s="352" t="s">
        <v>879</v>
      </c>
      <c r="BK18" s="352"/>
      <c r="BL18" s="354" t="s">
        <v>854</v>
      </c>
      <c r="BM18" s="354"/>
      <c r="BN18" s="354" t="s">
        <v>867</v>
      </c>
      <c r="BO18" s="354"/>
      <c r="BP18" s="354" t="s">
        <v>879</v>
      </c>
      <c r="BQ18" s="354"/>
      <c r="BR18" s="351" t="s">
        <v>854</v>
      </c>
      <c r="BS18" s="351"/>
      <c r="BT18" s="352" t="s">
        <v>867</v>
      </c>
      <c r="BU18" s="352"/>
      <c r="BV18" s="351" t="s">
        <v>879</v>
      </c>
      <c r="BW18" s="351"/>
      <c r="BX18" s="352" t="s">
        <v>854</v>
      </c>
      <c r="BY18" s="352"/>
      <c r="BZ18" s="351" t="s">
        <v>867</v>
      </c>
      <c r="CA18" s="351"/>
      <c r="CB18" s="351" t="s">
        <v>879</v>
      </c>
      <c r="CC18" s="351"/>
      <c r="CD18" s="354" t="s">
        <v>854</v>
      </c>
      <c r="CE18" s="354"/>
      <c r="CF18" s="354" t="s">
        <v>867</v>
      </c>
      <c r="CG18" s="354"/>
      <c r="CH18" s="354" t="s">
        <v>879</v>
      </c>
      <c r="CI18" s="354"/>
      <c r="CJ18" s="353" t="s">
        <v>854</v>
      </c>
      <c r="CK18" s="353"/>
      <c r="CL18" s="353" t="s">
        <v>867</v>
      </c>
      <c r="CM18" s="353"/>
      <c r="CN18" s="353" t="s">
        <v>879</v>
      </c>
      <c r="CO18" s="353"/>
      <c r="CP18" s="352" t="s">
        <v>854</v>
      </c>
      <c r="CQ18" s="352"/>
      <c r="CR18" s="353" t="s">
        <v>867</v>
      </c>
      <c r="CS18" s="353"/>
      <c r="CT18" s="353" t="s">
        <v>879</v>
      </c>
      <c r="CU18" s="353"/>
      <c r="CV18" s="354" t="s">
        <v>854</v>
      </c>
      <c r="CW18" s="354"/>
      <c r="CX18" s="354" t="s">
        <v>867</v>
      </c>
      <c r="CY18" s="354"/>
      <c r="CZ18" s="354" t="s">
        <v>879</v>
      </c>
      <c r="DA18" s="360"/>
      <c r="DB18" s="349" t="s">
        <v>854</v>
      </c>
      <c r="DC18" s="350"/>
      <c r="DD18" s="350" t="s">
        <v>867</v>
      </c>
      <c r="DE18" s="350"/>
      <c r="DF18" s="350" t="s">
        <v>879</v>
      </c>
      <c r="DG18" s="350"/>
      <c r="DH18" s="125" t="s">
        <v>1062</v>
      </c>
    </row>
    <row r="19" spans="1:112" ht="15" customHeight="1" x14ac:dyDescent="0.2">
      <c r="A19" s="343"/>
      <c r="B19" s="198" t="s">
        <v>1066</v>
      </c>
      <c r="C19" s="363"/>
      <c r="D19" s="369" t="s">
        <v>840</v>
      </c>
      <c r="E19" s="115" t="s">
        <v>562</v>
      </c>
      <c r="F19" s="116">
        <v>11</v>
      </c>
      <c r="G19" s="117"/>
      <c r="H19" s="118">
        <v>4</v>
      </c>
      <c r="I19" s="119">
        <v>1</v>
      </c>
      <c r="J19" s="117"/>
      <c r="K19" s="117"/>
      <c r="L19" s="120"/>
      <c r="M19" s="121"/>
      <c r="N19" s="122">
        <v>1</v>
      </c>
      <c r="O19" s="123"/>
      <c r="P19" s="124"/>
      <c r="Q19" s="122">
        <v>1</v>
      </c>
      <c r="R19" s="120"/>
      <c r="S19" s="188">
        <v>2</v>
      </c>
      <c r="T19" s="123"/>
      <c r="U19" s="119">
        <v>1</v>
      </c>
      <c r="V19" s="117"/>
      <c r="W19" s="123"/>
      <c r="X19" s="193">
        <f>SUM(F19:W19)</f>
        <v>21</v>
      </c>
      <c r="AA19" s="281" t="s">
        <v>7</v>
      </c>
      <c r="AB19" s="321"/>
      <c r="AC19" s="322">
        <v>4</v>
      </c>
      <c r="AD19" s="282"/>
      <c r="AE19" s="283"/>
      <c r="AF19" s="282"/>
      <c r="AG19" s="283">
        <v>1</v>
      </c>
      <c r="AH19" s="282"/>
      <c r="AI19" s="283"/>
      <c r="AJ19" s="282"/>
      <c r="AK19" s="283"/>
      <c r="AL19" s="282"/>
      <c r="AM19" s="283"/>
      <c r="AN19" s="284"/>
      <c r="AO19" s="285"/>
      <c r="AP19" s="284"/>
      <c r="AQ19" s="285"/>
      <c r="AR19" s="284"/>
      <c r="AS19" s="285"/>
      <c r="AT19" s="311">
        <v>12</v>
      </c>
      <c r="AU19" s="312">
        <v>2</v>
      </c>
      <c r="AV19" s="311">
        <v>9</v>
      </c>
      <c r="AW19" s="312">
        <v>1</v>
      </c>
      <c r="AX19" s="286">
        <v>4</v>
      </c>
      <c r="AY19" s="287">
        <v>1</v>
      </c>
      <c r="AZ19" s="282"/>
      <c r="BA19" s="283">
        <v>1</v>
      </c>
      <c r="BB19" s="282"/>
      <c r="BC19" s="283">
        <v>2</v>
      </c>
      <c r="BD19" s="282"/>
      <c r="BE19" s="283"/>
      <c r="BF19" s="284">
        <v>1</v>
      </c>
      <c r="BG19" s="285"/>
      <c r="BH19" s="284"/>
      <c r="BI19" s="285"/>
      <c r="BJ19" s="284"/>
      <c r="BK19" s="285"/>
      <c r="BL19" s="323">
        <v>7</v>
      </c>
      <c r="BM19" s="324"/>
      <c r="BN19" s="303">
        <v>6</v>
      </c>
      <c r="BO19" s="304">
        <v>7</v>
      </c>
      <c r="BP19" s="303">
        <v>7</v>
      </c>
      <c r="BQ19" s="304">
        <v>3</v>
      </c>
      <c r="BR19" s="321"/>
      <c r="BS19" s="322">
        <v>4</v>
      </c>
      <c r="BT19" s="284">
        <v>5</v>
      </c>
      <c r="BU19" s="285">
        <v>6</v>
      </c>
      <c r="BV19" s="321">
        <v>2</v>
      </c>
      <c r="BW19" s="322">
        <v>7</v>
      </c>
      <c r="BX19" s="284">
        <v>2</v>
      </c>
      <c r="BY19" s="285">
        <v>3</v>
      </c>
      <c r="BZ19" s="282">
        <v>3</v>
      </c>
      <c r="CA19" s="283">
        <v>7</v>
      </c>
      <c r="CB19" s="282">
        <v>3</v>
      </c>
      <c r="CC19" s="283">
        <v>1</v>
      </c>
      <c r="CD19" s="303">
        <v>2</v>
      </c>
      <c r="CE19" s="304"/>
      <c r="CF19" s="303"/>
      <c r="CG19" s="304">
        <v>1</v>
      </c>
      <c r="CH19" s="303">
        <v>1</v>
      </c>
      <c r="CI19" s="304"/>
      <c r="CJ19" s="286">
        <v>1</v>
      </c>
      <c r="CK19" s="287">
        <v>1</v>
      </c>
      <c r="CL19" s="286"/>
      <c r="CM19" s="287"/>
      <c r="CN19" s="286"/>
      <c r="CO19" s="287"/>
      <c r="CP19" s="284">
        <v>4</v>
      </c>
      <c r="CQ19" s="285"/>
      <c r="CR19" s="286"/>
      <c r="CS19" s="287"/>
      <c r="CT19" s="286">
        <v>1</v>
      </c>
      <c r="CU19" s="287"/>
      <c r="CV19" s="303"/>
      <c r="CW19" s="304">
        <v>1</v>
      </c>
      <c r="CX19" s="303">
        <v>2</v>
      </c>
      <c r="CY19" s="304">
        <v>2</v>
      </c>
      <c r="CZ19" s="303">
        <v>2</v>
      </c>
      <c r="DA19" s="308">
        <v>2</v>
      </c>
      <c r="DB19" s="316">
        <f t="shared" ref="DB19:DG19" si="0">SUM(AB19,AH19,AN19,AT19,AZ19,BF19,BL19,BR19,BX19,CD19,CJ19,CP19,CV19)</f>
        <v>29</v>
      </c>
      <c r="DC19" s="317">
        <f t="shared" si="0"/>
        <v>16</v>
      </c>
      <c r="DD19" s="274">
        <f t="shared" si="0"/>
        <v>25</v>
      </c>
      <c r="DE19" s="275">
        <f t="shared" si="0"/>
        <v>26</v>
      </c>
      <c r="DF19" s="274">
        <f t="shared" si="0"/>
        <v>20</v>
      </c>
      <c r="DG19" s="275">
        <f t="shared" si="0"/>
        <v>15</v>
      </c>
    </row>
    <row r="20" spans="1:112" x14ac:dyDescent="0.2">
      <c r="A20" s="344" t="s">
        <v>894</v>
      </c>
      <c r="B20" s="204" t="s">
        <v>893</v>
      </c>
      <c r="C20" s="372" t="s">
        <v>1068</v>
      </c>
      <c r="D20" s="370"/>
      <c r="E20" s="126" t="s">
        <v>591</v>
      </c>
      <c r="F20" s="127">
        <v>1</v>
      </c>
      <c r="G20" s="128">
        <v>1</v>
      </c>
      <c r="H20" s="129">
        <v>1</v>
      </c>
      <c r="I20" s="130"/>
      <c r="J20" s="131"/>
      <c r="K20" s="131"/>
      <c r="L20" s="132">
        <v>3</v>
      </c>
      <c r="M20" s="133">
        <v>3</v>
      </c>
      <c r="N20" s="134">
        <v>4</v>
      </c>
      <c r="O20" s="129">
        <v>1</v>
      </c>
      <c r="P20" s="135">
        <v>3</v>
      </c>
      <c r="Q20" s="186">
        <v>2</v>
      </c>
      <c r="R20" s="187">
        <v>2</v>
      </c>
      <c r="S20" s="127">
        <v>1</v>
      </c>
      <c r="T20" s="136"/>
      <c r="U20" s="130"/>
      <c r="V20" s="131"/>
      <c r="W20" s="136"/>
      <c r="X20" s="193">
        <f t="shared" ref="X20:X30" si="1">SUM(F20:W20)</f>
        <v>22</v>
      </c>
      <c r="AA20" s="288" t="s">
        <v>125</v>
      </c>
      <c r="AB20" s="282"/>
      <c r="AC20" s="283">
        <v>2</v>
      </c>
      <c r="AD20" s="282"/>
      <c r="AE20" s="283">
        <v>1</v>
      </c>
      <c r="AF20" s="282"/>
      <c r="AG20" s="283">
        <v>1</v>
      </c>
      <c r="AH20" s="282"/>
      <c r="AI20" s="283">
        <v>1</v>
      </c>
      <c r="AJ20" s="282"/>
      <c r="AK20" s="283">
        <v>1</v>
      </c>
      <c r="AL20" s="321"/>
      <c r="AM20" s="322">
        <v>6</v>
      </c>
      <c r="AN20" s="284"/>
      <c r="AO20" s="285">
        <v>1</v>
      </c>
      <c r="AP20" s="284">
        <v>1</v>
      </c>
      <c r="AQ20" s="285"/>
      <c r="AR20" s="284"/>
      <c r="AS20" s="285"/>
      <c r="AT20" s="323">
        <v>9</v>
      </c>
      <c r="AU20" s="324">
        <v>1</v>
      </c>
      <c r="AV20" s="323">
        <v>3</v>
      </c>
      <c r="AW20" s="324"/>
      <c r="AX20" s="323">
        <v>7</v>
      </c>
      <c r="AY20" s="324"/>
      <c r="AZ20" s="282">
        <v>2</v>
      </c>
      <c r="BA20" s="283">
        <v>3</v>
      </c>
      <c r="BB20" s="282">
        <v>1</v>
      </c>
      <c r="BC20" s="283">
        <v>1</v>
      </c>
      <c r="BD20" s="321"/>
      <c r="BE20" s="322">
        <v>8</v>
      </c>
      <c r="BF20" s="284"/>
      <c r="BG20" s="285"/>
      <c r="BH20" s="284"/>
      <c r="BI20" s="285">
        <v>2</v>
      </c>
      <c r="BJ20" s="284">
        <v>3</v>
      </c>
      <c r="BK20" s="285">
        <v>1</v>
      </c>
      <c r="BL20" s="321">
        <v>2</v>
      </c>
      <c r="BM20" s="322">
        <v>5</v>
      </c>
      <c r="BN20" s="303">
        <v>1</v>
      </c>
      <c r="BO20" s="304">
        <v>1</v>
      </c>
      <c r="BP20" s="303">
        <v>3</v>
      </c>
      <c r="BQ20" s="304">
        <v>4</v>
      </c>
      <c r="BR20" s="321">
        <v>1</v>
      </c>
      <c r="BS20" s="322">
        <v>4</v>
      </c>
      <c r="BT20" s="284">
        <v>2</v>
      </c>
      <c r="BU20" s="285">
        <v>1</v>
      </c>
      <c r="BV20" s="282"/>
      <c r="BW20" s="283">
        <v>2</v>
      </c>
      <c r="BX20" s="284">
        <v>1</v>
      </c>
      <c r="BY20" s="285"/>
      <c r="BZ20" s="321">
        <v>1</v>
      </c>
      <c r="CA20" s="322">
        <v>7</v>
      </c>
      <c r="CB20" s="282"/>
      <c r="CC20" s="283">
        <v>3</v>
      </c>
      <c r="CD20" s="321">
        <v>3</v>
      </c>
      <c r="CE20" s="322">
        <v>9</v>
      </c>
      <c r="CF20" s="303">
        <v>7</v>
      </c>
      <c r="CG20" s="304">
        <v>5</v>
      </c>
      <c r="CH20" s="323">
        <v>8</v>
      </c>
      <c r="CI20" s="324">
        <v>1</v>
      </c>
      <c r="CJ20" s="286">
        <v>8</v>
      </c>
      <c r="CK20" s="287">
        <v>3</v>
      </c>
      <c r="CL20" s="286">
        <v>2</v>
      </c>
      <c r="CM20" s="287"/>
      <c r="CN20" s="286">
        <v>1</v>
      </c>
      <c r="CO20" s="287"/>
      <c r="CP20" s="284"/>
      <c r="CQ20" s="285">
        <v>4</v>
      </c>
      <c r="CR20" s="286">
        <v>3</v>
      </c>
      <c r="CS20" s="287"/>
      <c r="CT20" s="286">
        <v>3</v>
      </c>
      <c r="CU20" s="287">
        <v>2</v>
      </c>
      <c r="CV20" s="303">
        <v>2</v>
      </c>
      <c r="CW20" s="304">
        <v>5</v>
      </c>
      <c r="CX20" s="303">
        <v>2</v>
      </c>
      <c r="CY20" s="304">
        <v>1</v>
      </c>
      <c r="CZ20" s="303">
        <v>5</v>
      </c>
      <c r="DA20" s="308"/>
      <c r="DB20" s="318">
        <f t="shared" ref="DB20:DB24" si="2">SUM(AB20,AH20,AN20,AT20,AZ20,BF20,BL20,BR20,BX20,CD20,CJ20,CP20,CV20)</f>
        <v>28</v>
      </c>
      <c r="DC20" s="319">
        <f t="shared" ref="DC20:DC24" si="3">SUM(AC20,AI20,AO20,AU20,BA20,BG20,BM20,BS20,BY20,CE20,CK20,CQ20,CW20)</f>
        <v>38</v>
      </c>
      <c r="DD20" s="274">
        <f t="shared" ref="DD20:DD24" si="4">SUM(AD20,AJ20,AP20,AV20,BB20,BH20,BN20,BT20,BZ20,CF20,CL20,CR20,CX20)</f>
        <v>23</v>
      </c>
      <c r="DE20" s="275">
        <f t="shared" ref="DE20:DE24" si="5">SUM(AE20,AK20,AQ20,AW20,BC20,BI20,BO20,BU20,CA20,CG20,CM20,CS20,CY20)</f>
        <v>20</v>
      </c>
      <c r="DF20" s="274">
        <f t="shared" ref="DF20:DF24" si="6">SUM(AF20,AL20,AR20,AX20,BD20,BJ20,BP20,BV20,CB20,CH20,CN20,CT20,CZ20)</f>
        <v>30</v>
      </c>
      <c r="DG20" s="275">
        <f t="shared" ref="DG20:DG24" si="7">SUM(AG20,AM20,AS20,AY20,BE20,BK20,BQ20,BW20,CC20,CI20,CO20,CU20,DA20)</f>
        <v>28</v>
      </c>
    </row>
    <row r="21" spans="1:112" x14ac:dyDescent="0.2">
      <c r="A21" s="345"/>
      <c r="B21" s="204" t="s">
        <v>903</v>
      </c>
      <c r="C21" s="372"/>
      <c r="D21" s="370"/>
      <c r="E21" s="126" t="s">
        <v>580</v>
      </c>
      <c r="F21" s="127">
        <v>1</v>
      </c>
      <c r="G21" s="131"/>
      <c r="H21" s="136"/>
      <c r="I21" s="135">
        <v>3</v>
      </c>
      <c r="J21" s="137">
        <v>5</v>
      </c>
      <c r="K21" s="128">
        <v>1</v>
      </c>
      <c r="L21" s="138">
        <v>5</v>
      </c>
      <c r="M21" s="139"/>
      <c r="N21" s="131"/>
      <c r="O21" s="129">
        <v>1</v>
      </c>
      <c r="P21" s="140">
        <v>1</v>
      </c>
      <c r="Q21" s="128">
        <v>1</v>
      </c>
      <c r="R21" s="141"/>
      <c r="S21" s="189">
        <v>2</v>
      </c>
      <c r="T21" s="129">
        <v>1</v>
      </c>
      <c r="U21" s="130"/>
      <c r="V21" s="131"/>
      <c r="W21" s="136"/>
      <c r="X21" s="193">
        <f t="shared" si="1"/>
        <v>21</v>
      </c>
      <c r="AA21" s="289" t="s">
        <v>267</v>
      </c>
      <c r="AB21" s="282"/>
      <c r="AC21" s="283">
        <v>1</v>
      </c>
      <c r="AD21" s="282"/>
      <c r="AE21" s="283"/>
      <c r="AF21" s="282"/>
      <c r="AG21" s="283">
        <v>2</v>
      </c>
      <c r="AH21" s="282"/>
      <c r="AI21" s="283">
        <v>1</v>
      </c>
      <c r="AJ21" s="282"/>
      <c r="AK21" s="283">
        <v>1</v>
      </c>
      <c r="AL21" s="282"/>
      <c r="AM21" s="283"/>
      <c r="AN21" s="284"/>
      <c r="AO21" s="285"/>
      <c r="AP21" s="284"/>
      <c r="AQ21" s="285"/>
      <c r="AR21" s="284"/>
      <c r="AS21" s="285"/>
      <c r="AT21" s="323">
        <v>5</v>
      </c>
      <c r="AU21" s="324"/>
      <c r="AV21" s="323">
        <v>7</v>
      </c>
      <c r="AW21" s="324"/>
      <c r="AX21" s="323">
        <v>4</v>
      </c>
      <c r="AY21" s="324">
        <v>1</v>
      </c>
      <c r="AZ21" s="321"/>
      <c r="BA21" s="322">
        <v>3</v>
      </c>
      <c r="BB21" s="321"/>
      <c r="BC21" s="322">
        <v>4</v>
      </c>
      <c r="BD21" s="282"/>
      <c r="BE21" s="283"/>
      <c r="BF21" s="284">
        <v>1</v>
      </c>
      <c r="BG21" s="285">
        <v>1</v>
      </c>
      <c r="BH21" s="284">
        <v>1</v>
      </c>
      <c r="BI21" s="285"/>
      <c r="BJ21" s="284">
        <v>2</v>
      </c>
      <c r="BK21" s="285"/>
      <c r="BL21" s="303">
        <v>1</v>
      </c>
      <c r="BM21" s="304"/>
      <c r="BN21" s="303">
        <v>1</v>
      </c>
      <c r="BO21" s="304">
        <v>3</v>
      </c>
      <c r="BP21" s="303">
        <v>2</v>
      </c>
      <c r="BQ21" s="304">
        <v>3</v>
      </c>
      <c r="BR21" s="282"/>
      <c r="BS21" s="283">
        <v>2</v>
      </c>
      <c r="BT21" s="284">
        <v>3</v>
      </c>
      <c r="BU21" s="285">
        <v>3</v>
      </c>
      <c r="BV21" s="321">
        <v>1</v>
      </c>
      <c r="BW21" s="322">
        <v>6</v>
      </c>
      <c r="BX21" s="284">
        <v>1</v>
      </c>
      <c r="BY21" s="285"/>
      <c r="BZ21" s="282"/>
      <c r="CA21" s="283"/>
      <c r="CB21" s="282">
        <v>1</v>
      </c>
      <c r="CC21" s="283">
        <v>2</v>
      </c>
      <c r="CD21" s="303"/>
      <c r="CE21" s="304">
        <v>1</v>
      </c>
      <c r="CF21" s="321">
        <v>1</v>
      </c>
      <c r="CG21" s="322">
        <v>5</v>
      </c>
      <c r="CH21" s="303">
        <v>1</v>
      </c>
      <c r="CI21" s="304"/>
      <c r="CJ21" s="286"/>
      <c r="CK21" s="287"/>
      <c r="CL21" s="286">
        <v>3</v>
      </c>
      <c r="CM21" s="287">
        <v>1</v>
      </c>
      <c r="CN21" s="286">
        <v>2</v>
      </c>
      <c r="CO21" s="287"/>
      <c r="CP21" s="284">
        <v>1</v>
      </c>
      <c r="CQ21" s="285"/>
      <c r="CR21" s="286">
        <v>2</v>
      </c>
      <c r="CS21" s="287"/>
      <c r="CT21" s="286">
        <v>1</v>
      </c>
      <c r="CU21" s="287"/>
      <c r="CV21" s="303">
        <v>2</v>
      </c>
      <c r="CW21" s="304">
        <v>2</v>
      </c>
      <c r="CX21" s="303">
        <v>1</v>
      </c>
      <c r="CY21" s="304">
        <v>2</v>
      </c>
      <c r="CZ21" s="303">
        <v>1</v>
      </c>
      <c r="DA21" s="308">
        <v>2</v>
      </c>
      <c r="DB21" s="313">
        <f t="shared" si="2"/>
        <v>11</v>
      </c>
      <c r="DC21" s="275">
        <f t="shared" si="3"/>
        <v>11</v>
      </c>
      <c r="DD21" s="274">
        <f t="shared" si="4"/>
        <v>19</v>
      </c>
      <c r="DE21" s="275">
        <f t="shared" si="5"/>
        <v>19</v>
      </c>
      <c r="DF21" s="274">
        <f t="shared" si="6"/>
        <v>15</v>
      </c>
      <c r="DG21" s="275">
        <f t="shared" si="7"/>
        <v>16</v>
      </c>
    </row>
    <row r="22" spans="1:112" ht="16" thickBot="1" x14ac:dyDescent="0.25">
      <c r="A22" s="345"/>
      <c r="B22" s="204" t="s">
        <v>916</v>
      </c>
      <c r="C22" s="372"/>
      <c r="D22" s="371"/>
      <c r="E22" s="142" t="s">
        <v>581</v>
      </c>
      <c r="F22" s="143"/>
      <c r="G22" s="144"/>
      <c r="H22" s="145"/>
      <c r="I22" s="146"/>
      <c r="J22" s="144"/>
      <c r="K22" s="147">
        <v>1</v>
      </c>
      <c r="L22" s="148">
        <v>3</v>
      </c>
      <c r="M22" s="143"/>
      <c r="N22" s="144"/>
      <c r="O22" s="145"/>
      <c r="P22" s="146"/>
      <c r="Q22" s="147">
        <v>1</v>
      </c>
      <c r="R22" s="149"/>
      <c r="S22" s="150">
        <v>1</v>
      </c>
      <c r="T22" s="145"/>
      <c r="U22" s="146"/>
      <c r="V22" s="144"/>
      <c r="W22" s="145"/>
      <c r="X22" s="125">
        <f t="shared" si="1"/>
        <v>6</v>
      </c>
      <c r="Y22" s="125">
        <f>SUM(F19:W22)</f>
        <v>70</v>
      </c>
      <c r="AA22" s="290" t="s">
        <v>365</v>
      </c>
      <c r="AB22" s="282">
        <v>1</v>
      </c>
      <c r="AC22" s="283">
        <v>1</v>
      </c>
      <c r="AD22" s="282">
        <v>1</v>
      </c>
      <c r="AE22" s="283"/>
      <c r="AF22" s="282"/>
      <c r="AG22" s="283">
        <v>2</v>
      </c>
      <c r="AH22" s="282"/>
      <c r="AI22" s="283"/>
      <c r="AJ22" s="282"/>
      <c r="AK22" s="283"/>
      <c r="AL22" s="282"/>
      <c r="AM22" s="283"/>
      <c r="AN22" s="284"/>
      <c r="AO22" s="285"/>
      <c r="AP22" s="284"/>
      <c r="AQ22" s="285"/>
      <c r="AR22" s="284"/>
      <c r="AS22" s="285"/>
      <c r="AT22" s="286">
        <v>1</v>
      </c>
      <c r="AU22" s="287"/>
      <c r="AV22" s="286">
        <v>2</v>
      </c>
      <c r="AW22" s="287">
        <v>1</v>
      </c>
      <c r="AX22" s="286">
        <v>5</v>
      </c>
      <c r="AY22" s="287"/>
      <c r="AZ22" s="282"/>
      <c r="BA22" s="283"/>
      <c r="BB22" s="282"/>
      <c r="BC22" s="283"/>
      <c r="BD22" s="282"/>
      <c r="BE22" s="283"/>
      <c r="BF22" s="284"/>
      <c r="BG22" s="285"/>
      <c r="BH22" s="284"/>
      <c r="BI22" s="285">
        <v>3</v>
      </c>
      <c r="BJ22" s="284"/>
      <c r="BK22" s="285">
        <v>1</v>
      </c>
      <c r="BL22" s="303">
        <v>1</v>
      </c>
      <c r="BM22" s="304">
        <v>1</v>
      </c>
      <c r="BN22" s="303">
        <v>3</v>
      </c>
      <c r="BO22" s="304"/>
      <c r="BP22" s="303"/>
      <c r="BQ22" s="304"/>
      <c r="BR22" s="282"/>
      <c r="BS22" s="283"/>
      <c r="BT22" s="284"/>
      <c r="BU22" s="285"/>
      <c r="BV22" s="282"/>
      <c r="BW22" s="283">
        <v>3</v>
      </c>
      <c r="BX22" s="284">
        <v>1</v>
      </c>
      <c r="BY22" s="285">
        <v>3</v>
      </c>
      <c r="BZ22" s="282">
        <v>1</v>
      </c>
      <c r="CA22" s="283">
        <v>1</v>
      </c>
      <c r="CB22" s="282"/>
      <c r="CC22" s="283">
        <v>2</v>
      </c>
      <c r="CD22" s="303"/>
      <c r="CE22" s="304"/>
      <c r="CF22" s="303"/>
      <c r="CG22" s="304"/>
      <c r="CH22" s="303"/>
      <c r="CI22" s="304"/>
      <c r="CJ22" s="286">
        <v>1</v>
      </c>
      <c r="CK22" s="287"/>
      <c r="CL22" s="286"/>
      <c r="CM22" s="287">
        <v>1</v>
      </c>
      <c r="CN22" s="286">
        <v>1</v>
      </c>
      <c r="CO22" s="287"/>
      <c r="CP22" s="284">
        <v>1</v>
      </c>
      <c r="CQ22" s="285">
        <v>1</v>
      </c>
      <c r="CR22" s="286"/>
      <c r="CS22" s="287"/>
      <c r="CT22" s="286">
        <v>5</v>
      </c>
      <c r="CU22" s="287"/>
      <c r="CV22" s="303">
        <v>1</v>
      </c>
      <c r="CW22" s="304"/>
      <c r="CX22" s="303">
        <v>3</v>
      </c>
      <c r="CY22" s="304">
        <v>1</v>
      </c>
      <c r="CZ22" s="303">
        <v>1</v>
      </c>
      <c r="DA22" s="308">
        <v>4</v>
      </c>
      <c r="DB22" s="313">
        <f t="shared" si="2"/>
        <v>7</v>
      </c>
      <c r="DC22" s="275">
        <f t="shared" si="3"/>
        <v>6</v>
      </c>
      <c r="DD22" s="274">
        <f t="shared" si="4"/>
        <v>10</v>
      </c>
      <c r="DE22" s="275">
        <f t="shared" si="5"/>
        <v>7</v>
      </c>
      <c r="DF22" s="274">
        <f t="shared" si="6"/>
        <v>12</v>
      </c>
      <c r="DG22" s="275">
        <f t="shared" si="7"/>
        <v>12</v>
      </c>
    </row>
    <row r="23" spans="1:112" ht="15" customHeight="1" x14ac:dyDescent="0.2">
      <c r="A23" s="346"/>
      <c r="B23" s="204" t="s">
        <v>929</v>
      </c>
      <c r="C23" s="372"/>
      <c r="D23" s="369" t="s">
        <v>841</v>
      </c>
      <c r="E23" s="115" t="s">
        <v>562</v>
      </c>
      <c r="F23" s="151">
        <v>6</v>
      </c>
      <c r="G23" s="152">
        <v>6</v>
      </c>
      <c r="H23" s="153">
        <v>13</v>
      </c>
      <c r="I23" s="119">
        <v>1</v>
      </c>
      <c r="J23" s="122">
        <v>1</v>
      </c>
      <c r="K23" s="117"/>
      <c r="L23" s="120"/>
      <c r="M23" s="154">
        <v>3</v>
      </c>
      <c r="N23" s="117"/>
      <c r="O23" s="123"/>
      <c r="P23" s="124"/>
      <c r="Q23" s="117"/>
      <c r="R23" s="120"/>
      <c r="S23" s="155">
        <v>1</v>
      </c>
      <c r="T23" s="123"/>
      <c r="U23" s="124"/>
      <c r="V23" s="117"/>
      <c r="W23" s="156">
        <v>1</v>
      </c>
      <c r="X23" s="193">
        <f t="shared" si="1"/>
        <v>32</v>
      </c>
      <c r="Y23" s="125"/>
      <c r="AA23" s="291" t="s">
        <v>447</v>
      </c>
      <c r="AB23" s="282"/>
      <c r="AC23" s="283"/>
      <c r="AD23" s="282"/>
      <c r="AE23" s="283"/>
      <c r="AF23" s="282"/>
      <c r="AG23" s="283"/>
      <c r="AH23" s="282"/>
      <c r="AI23" s="283"/>
      <c r="AJ23" s="282"/>
      <c r="AK23" s="283"/>
      <c r="AL23" s="282"/>
      <c r="AM23" s="283"/>
      <c r="AN23" s="284"/>
      <c r="AO23" s="285"/>
      <c r="AP23" s="284"/>
      <c r="AQ23" s="285"/>
      <c r="AR23" s="284"/>
      <c r="AS23" s="285"/>
      <c r="AT23" s="286">
        <v>5</v>
      </c>
      <c r="AU23" s="287"/>
      <c r="AV23" s="286">
        <v>3</v>
      </c>
      <c r="AW23" s="287"/>
      <c r="AX23" s="286">
        <v>2</v>
      </c>
      <c r="AY23" s="287"/>
      <c r="AZ23" s="282"/>
      <c r="BA23" s="283"/>
      <c r="BB23" s="282">
        <v>4</v>
      </c>
      <c r="BC23" s="283"/>
      <c r="BD23" s="282">
        <v>2</v>
      </c>
      <c r="BE23" s="283">
        <v>1</v>
      </c>
      <c r="BF23" s="284"/>
      <c r="BG23" s="285">
        <v>1</v>
      </c>
      <c r="BH23" s="284">
        <v>1</v>
      </c>
      <c r="BI23" s="285">
        <v>2</v>
      </c>
      <c r="BJ23" s="284">
        <v>4</v>
      </c>
      <c r="BK23" s="285"/>
      <c r="BL23" s="303">
        <v>1</v>
      </c>
      <c r="BM23" s="304"/>
      <c r="BN23" s="303">
        <v>1</v>
      </c>
      <c r="BO23" s="304"/>
      <c r="BP23" s="303"/>
      <c r="BQ23" s="304"/>
      <c r="BR23" s="282">
        <v>1</v>
      </c>
      <c r="BS23" s="283">
        <v>4</v>
      </c>
      <c r="BT23" s="284">
        <v>2</v>
      </c>
      <c r="BU23" s="285">
        <v>1</v>
      </c>
      <c r="BV23" s="282">
        <v>1</v>
      </c>
      <c r="BW23" s="283"/>
      <c r="BX23" s="284"/>
      <c r="BY23" s="285"/>
      <c r="BZ23" s="282">
        <v>1</v>
      </c>
      <c r="CA23" s="283">
        <v>1</v>
      </c>
      <c r="CB23" s="282"/>
      <c r="CC23" s="283">
        <v>1</v>
      </c>
      <c r="CD23" s="303"/>
      <c r="CE23" s="304"/>
      <c r="CF23" s="303">
        <v>2</v>
      </c>
      <c r="CG23" s="304">
        <v>1</v>
      </c>
      <c r="CH23" s="303"/>
      <c r="CI23" s="304"/>
      <c r="CJ23" s="286">
        <v>1</v>
      </c>
      <c r="CK23" s="287"/>
      <c r="CL23" s="286"/>
      <c r="CM23" s="287">
        <v>1</v>
      </c>
      <c r="CN23" s="286"/>
      <c r="CO23" s="287"/>
      <c r="CP23" s="284"/>
      <c r="CQ23" s="285"/>
      <c r="CR23" s="286">
        <v>1</v>
      </c>
      <c r="CS23" s="287"/>
      <c r="CT23" s="286">
        <v>1</v>
      </c>
      <c r="CU23" s="287"/>
      <c r="CV23" s="303">
        <v>1</v>
      </c>
      <c r="CW23" s="304"/>
      <c r="CX23" s="303"/>
      <c r="CY23" s="304"/>
      <c r="CZ23" s="303"/>
      <c r="DA23" s="308"/>
      <c r="DB23" s="313">
        <f t="shared" si="2"/>
        <v>9</v>
      </c>
      <c r="DC23" s="275">
        <f t="shared" si="3"/>
        <v>5</v>
      </c>
      <c r="DD23" s="320">
        <f t="shared" si="4"/>
        <v>15</v>
      </c>
      <c r="DE23" s="317">
        <f t="shared" si="5"/>
        <v>6</v>
      </c>
      <c r="DF23" s="320">
        <f t="shared" si="6"/>
        <v>10</v>
      </c>
      <c r="DG23" s="317">
        <f t="shared" si="7"/>
        <v>2</v>
      </c>
    </row>
    <row r="24" spans="1:112" ht="16" thickBot="1" x14ac:dyDescent="0.25">
      <c r="A24" s="347" t="s">
        <v>943</v>
      </c>
      <c r="B24" s="210" t="s">
        <v>942</v>
      </c>
      <c r="C24" s="372" t="s">
        <v>1069</v>
      </c>
      <c r="D24" s="370"/>
      <c r="E24" s="126" t="s">
        <v>591</v>
      </c>
      <c r="F24" s="139"/>
      <c r="G24" s="131"/>
      <c r="H24" s="136"/>
      <c r="I24" s="135">
        <v>3</v>
      </c>
      <c r="J24" s="131"/>
      <c r="K24" s="131"/>
      <c r="L24" s="141"/>
      <c r="M24" s="157">
        <v>4</v>
      </c>
      <c r="N24" s="158">
        <v>6</v>
      </c>
      <c r="O24" s="136"/>
      <c r="P24" s="190">
        <v>2</v>
      </c>
      <c r="Q24" s="128">
        <v>1</v>
      </c>
      <c r="R24" s="187">
        <v>2</v>
      </c>
      <c r="S24" s="159">
        <v>5</v>
      </c>
      <c r="T24" s="136"/>
      <c r="U24" s="140">
        <v>1</v>
      </c>
      <c r="V24" s="131"/>
      <c r="W24" s="136"/>
      <c r="X24" s="125">
        <f t="shared" si="1"/>
        <v>24</v>
      </c>
      <c r="Y24" s="125"/>
      <c r="AA24" s="296" t="s">
        <v>477</v>
      </c>
      <c r="AB24" s="297"/>
      <c r="AC24" s="298">
        <v>1</v>
      </c>
      <c r="AD24" s="297"/>
      <c r="AE24" s="298"/>
      <c r="AF24" s="297"/>
      <c r="AG24" s="298"/>
      <c r="AH24" s="297"/>
      <c r="AI24" s="298"/>
      <c r="AJ24" s="297"/>
      <c r="AK24" s="298"/>
      <c r="AL24" s="297"/>
      <c r="AM24" s="298"/>
      <c r="AN24" s="299"/>
      <c r="AO24" s="300"/>
      <c r="AP24" s="299"/>
      <c r="AQ24" s="300"/>
      <c r="AR24" s="299"/>
      <c r="AS24" s="300"/>
      <c r="AT24" s="301"/>
      <c r="AU24" s="302"/>
      <c r="AV24" s="301">
        <v>3</v>
      </c>
      <c r="AW24" s="302"/>
      <c r="AX24" s="301">
        <v>5</v>
      </c>
      <c r="AY24" s="302"/>
      <c r="AZ24" s="297"/>
      <c r="BA24" s="298">
        <v>1</v>
      </c>
      <c r="BB24" s="297"/>
      <c r="BC24" s="298">
        <v>1</v>
      </c>
      <c r="BD24" s="297"/>
      <c r="BE24" s="298">
        <v>1</v>
      </c>
      <c r="BF24" s="299">
        <v>1</v>
      </c>
      <c r="BG24" s="300"/>
      <c r="BH24" s="299">
        <v>3</v>
      </c>
      <c r="BI24" s="300">
        <v>1</v>
      </c>
      <c r="BJ24" s="299">
        <v>4</v>
      </c>
      <c r="BK24" s="300"/>
      <c r="BL24" s="305"/>
      <c r="BM24" s="306"/>
      <c r="BN24" s="305">
        <v>1</v>
      </c>
      <c r="BO24" s="306">
        <v>1</v>
      </c>
      <c r="BP24" s="305">
        <v>1</v>
      </c>
      <c r="BQ24" s="306">
        <v>3</v>
      </c>
      <c r="BR24" s="297"/>
      <c r="BS24" s="298"/>
      <c r="BT24" s="299">
        <v>1</v>
      </c>
      <c r="BU24" s="300">
        <v>1</v>
      </c>
      <c r="BV24" s="297">
        <v>3</v>
      </c>
      <c r="BW24" s="298">
        <v>1</v>
      </c>
      <c r="BX24" s="299"/>
      <c r="BY24" s="300"/>
      <c r="BZ24" s="297"/>
      <c r="CA24" s="298">
        <v>3</v>
      </c>
      <c r="CB24" s="297"/>
      <c r="CC24" s="298">
        <v>1</v>
      </c>
      <c r="CD24" s="305"/>
      <c r="CE24" s="306"/>
      <c r="CF24" s="305">
        <v>1</v>
      </c>
      <c r="CG24" s="306">
        <v>1</v>
      </c>
      <c r="CH24" s="305">
        <v>1</v>
      </c>
      <c r="CI24" s="306"/>
      <c r="CJ24" s="301"/>
      <c r="CK24" s="302"/>
      <c r="CL24" s="301">
        <v>1</v>
      </c>
      <c r="CM24" s="302"/>
      <c r="CN24" s="301"/>
      <c r="CO24" s="302"/>
      <c r="CP24" s="299"/>
      <c r="CQ24" s="300"/>
      <c r="CR24" s="301"/>
      <c r="CS24" s="302"/>
      <c r="CT24" s="301"/>
      <c r="CU24" s="302"/>
      <c r="CV24" s="305">
        <v>1</v>
      </c>
      <c r="CW24" s="306"/>
      <c r="CX24" s="305"/>
      <c r="CY24" s="306">
        <v>1</v>
      </c>
      <c r="CZ24" s="305"/>
      <c r="DA24" s="309">
        <v>1</v>
      </c>
      <c r="DB24" s="313">
        <f t="shared" si="2"/>
        <v>2</v>
      </c>
      <c r="DC24" s="275">
        <f t="shared" si="3"/>
        <v>2</v>
      </c>
      <c r="DD24" s="274">
        <f t="shared" si="4"/>
        <v>10</v>
      </c>
      <c r="DE24" s="275">
        <f t="shared" si="5"/>
        <v>9</v>
      </c>
      <c r="DF24" s="320">
        <f t="shared" si="6"/>
        <v>14</v>
      </c>
      <c r="DG24" s="317">
        <f t="shared" si="7"/>
        <v>7</v>
      </c>
    </row>
    <row r="25" spans="1:112" x14ac:dyDescent="0.2">
      <c r="A25" s="348"/>
      <c r="B25" s="210" t="s">
        <v>956</v>
      </c>
      <c r="C25" s="372"/>
      <c r="D25" s="370"/>
      <c r="E25" s="126" t="s">
        <v>580</v>
      </c>
      <c r="F25" s="139"/>
      <c r="G25" s="131"/>
      <c r="H25" s="136"/>
      <c r="I25" s="160">
        <v>5</v>
      </c>
      <c r="J25" s="158">
        <v>6</v>
      </c>
      <c r="K25" s="158">
        <v>6</v>
      </c>
      <c r="L25" s="141"/>
      <c r="M25" s="127">
        <v>1</v>
      </c>
      <c r="N25" s="128">
        <v>1</v>
      </c>
      <c r="O25" s="161">
        <v>3</v>
      </c>
      <c r="P25" s="140">
        <v>1</v>
      </c>
      <c r="Q25" s="128">
        <v>1</v>
      </c>
      <c r="R25" s="162">
        <v>4</v>
      </c>
      <c r="S25" s="127">
        <v>1</v>
      </c>
      <c r="T25" s="136"/>
      <c r="U25" s="190">
        <v>2</v>
      </c>
      <c r="V25" s="131"/>
      <c r="W25" s="129">
        <v>1</v>
      </c>
      <c r="X25" s="193">
        <f t="shared" si="1"/>
        <v>32</v>
      </c>
      <c r="Y25" s="125"/>
      <c r="AA25" s="293"/>
      <c r="AB25" s="294">
        <f>SUM(AB19:AB24)</f>
        <v>1</v>
      </c>
      <c r="AC25" s="294">
        <f t="shared" ref="AC25:CN25" si="8">SUM(AC19:AC24)</f>
        <v>9</v>
      </c>
      <c r="AD25" s="294">
        <f t="shared" si="8"/>
        <v>1</v>
      </c>
      <c r="AE25" s="294">
        <f t="shared" si="8"/>
        <v>1</v>
      </c>
      <c r="AF25" s="294">
        <f t="shared" si="8"/>
        <v>0</v>
      </c>
      <c r="AG25" s="294">
        <f t="shared" si="8"/>
        <v>6</v>
      </c>
      <c r="AH25" s="294">
        <f t="shared" si="8"/>
        <v>0</v>
      </c>
      <c r="AI25" s="294">
        <f t="shared" si="8"/>
        <v>2</v>
      </c>
      <c r="AJ25" s="294">
        <f t="shared" si="8"/>
        <v>0</v>
      </c>
      <c r="AK25" s="294">
        <f t="shared" si="8"/>
        <v>2</v>
      </c>
      <c r="AL25" s="294">
        <f t="shared" si="8"/>
        <v>0</v>
      </c>
      <c r="AM25" s="294">
        <f t="shared" si="8"/>
        <v>6</v>
      </c>
      <c r="AN25" s="280">
        <f t="shared" si="8"/>
        <v>0</v>
      </c>
      <c r="AO25" s="280">
        <f t="shared" si="8"/>
        <v>1</v>
      </c>
      <c r="AP25" s="280">
        <f t="shared" si="8"/>
        <v>1</v>
      </c>
      <c r="AQ25" s="280">
        <f t="shared" si="8"/>
        <v>0</v>
      </c>
      <c r="AR25" s="280">
        <f t="shared" si="8"/>
        <v>0</v>
      </c>
      <c r="AS25" s="280">
        <f t="shared" si="8"/>
        <v>0</v>
      </c>
      <c r="AT25" s="295">
        <f t="shared" si="8"/>
        <v>32</v>
      </c>
      <c r="AU25" s="295">
        <f t="shared" si="8"/>
        <v>3</v>
      </c>
      <c r="AV25" s="295">
        <f t="shared" si="8"/>
        <v>27</v>
      </c>
      <c r="AW25" s="295">
        <f t="shared" si="8"/>
        <v>2</v>
      </c>
      <c r="AX25" s="295">
        <f t="shared" si="8"/>
        <v>27</v>
      </c>
      <c r="AY25" s="295">
        <f t="shared" si="8"/>
        <v>2</v>
      </c>
      <c r="AZ25" s="294">
        <f t="shared" si="8"/>
        <v>2</v>
      </c>
      <c r="BA25" s="294">
        <f t="shared" si="8"/>
        <v>8</v>
      </c>
      <c r="BB25" s="294">
        <f t="shared" si="8"/>
        <v>5</v>
      </c>
      <c r="BC25" s="294">
        <f t="shared" si="8"/>
        <v>8</v>
      </c>
      <c r="BD25" s="294">
        <f t="shared" si="8"/>
        <v>2</v>
      </c>
      <c r="BE25" s="294">
        <f t="shared" si="8"/>
        <v>10</v>
      </c>
      <c r="BF25" s="280">
        <f t="shared" si="8"/>
        <v>3</v>
      </c>
      <c r="BG25" s="280">
        <f t="shared" si="8"/>
        <v>2</v>
      </c>
      <c r="BH25" s="280">
        <f t="shared" si="8"/>
        <v>5</v>
      </c>
      <c r="BI25" s="280">
        <f t="shared" si="8"/>
        <v>8</v>
      </c>
      <c r="BJ25" s="280">
        <f t="shared" si="8"/>
        <v>13</v>
      </c>
      <c r="BK25" s="280">
        <f t="shared" si="8"/>
        <v>2</v>
      </c>
      <c r="BL25" s="307">
        <f t="shared" si="8"/>
        <v>12</v>
      </c>
      <c r="BM25" s="307">
        <f t="shared" si="8"/>
        <v>6</v>
      </c>
      <c r="BN25" s="307">
        <f t="shared" si="8"/>
        <v>13</v>
      </c>
      <c r="BO25" s="307">
        <f t="shared" si="8"/>
        <v>12</v>
      </c>
      <c r="BP25" s="307">
        <f t="shared" si="8"/>
        <v>13</v>
      </c>
      <c r="BQ25" s="307">
        <f t="shared" si="8"/>
        <v>13</v>
      </c>
      <c r="BR25" s="294">
        <f t="shared" si="8"/>
        <v>2</v>
      </c>
      <c r="BS25" s="294">
        <f t="shared" si="8"/>
        <v>14</v>
      </c>
      <c r="BT25" s="280">
        <f t="shared" si="8"/>
        <v>13</v>
      </c>
      <c r="BU25" s="280">
        <f t="shared" si="8"/>
        <v>12</v>
      </c>
      <c r="BV25" s="294">
        <f t="shared" si="8"/>
        <v>7</v>
      </c>
      <c r="BW25" s="294">
        <f t="shared" si="8"/>
        <v>19</v>
      </c>
      <c r="BX25" s="280">
        <f t="shared" si="8"/>
        <v>5</v>
      </c>
      <c r="BY25" s="280">
        <f t="shared" si="8"/>
        <v>6</v>
      </c>
      <c r="BZ25" s="294">
        <f t="shared" si="8"/>
        <v>6</v>
      </c>
      <c r="CA25" s="294">
        <f t="shared" si="8"/>
        <v>19</v>
      </c>
      <c r="CB25" s="294">
        <f t="shared" si="8"/>
        <v>4</v>
      </c>
      <c r="CC25" s="294">
        <f t="shared" si="8"/>
        <v>10</v>
      </c>
      <c r="CD25" s="307">
        <f t="shared" si="8"/>
        <v>5</v>
      </c>
      <c r="CE25" s="307">
        <f t="shared" si="8"/>
        <v>10</v>
      </c>
      <c r="CF25" s="307">
        <f t="shared" si="8"/>
        <v>11</v>
      </c>
      <c r="CG25" s="307">
        <f t="shared" si="8"/>
        <v>13</v>
      </c>
      <c r="CH25" s="307">
        <f t="shared" si="8"/>
        <v>11</v>
      </c>
      <c r="CI25" s="307">
        <f t="shared" si="8"/>
        <v>1</v>
      </c>
      <c r="CJ25" s="295">
        <f t="shared" si="8"/>
        <v>11</v>
      </c>
      <c r="CK25" s="295">
        <f t="shared" si="8"/>
        <v>4</v>
      </c>
      <c r="CL25" s="295">
        <f t="shared" si="8"/>
        <v>6</v>
      </c>
      <c r="CM25" s="295">
        <f t="shared" si="8"/>
        <v>3</v>
      </c>
      <c r="CN25" s="295">
        <f t="shared" si="8"/>
        <v>4</v>
      </c>
      <c r="CO25" s="295">
        <f t="shared" ref="CO25:DA25" si="9">SUM(CO19:CO24)</f>
        <v>0</v>
      </c>
      <c r="CP25" s="280">
        <f t="shared" si="9"/>
        <v>6</v>
      </c>
      <c r="CQ25" s="280">
        <f t="shared" si="9"/>
        <v>5</v>
      </c>
      <c r="CR25" s="295">
        <f t="shared" si="9"/>
        <v>6</v>
      </c>
      <c r="CS25" s="295">
        <f t="shared" si="9"/>
        <v>0</v>
      </c>
      <c r="CT25" s="295">
        <f t="shared" si="9"/>
        <v>11</v>
      </c>
      <c r="CU25" s="295">
        <f t="shared" si="9"/>
        <v>2</v>
      </c>
      <c r="CV25" s="307">
        <f t="shared" si="9"/>
        <v>7</v>
      </c>
      <c r="CW25" s="307">
        <f t="shared" si="9"/>
        <v>8</v>
      </c>
      <c r="CX25" s="307">
        <f t="shared" si="9"/>
        <v>8</v>
      </c>
      <c r="CY25" s="307">
        <f t="shared" si="9"/>
        <v>7</v>
      </c>
      <c r="CZ25" s="307">
        <f t="shared" si="9"/>
        <v>9</v>
      </c>
      <c r="DA25" s="307">
        <f t="shared" si="9"/>
        <v>9</v>
      </c>
      <c r="DB25" s="314">
        <f t="shared" ref="DB25" si="10">SUM(DB19:DB24)</f>
        <v>86</v>
      </c>
      <c r="DC25" s="315">
        <f t="shared" ref="DC25" si="11">SUM(DC19:DC24)</f>
        <v>78</v>
      </c>
      <c r="DD25" s="314">
        <f t="shared" ref="DD25" si="12">SUM(DD19:DD24)</f>
        <v>102</v>
      </c>
      <c r="DE25" s="315">
        <f t="shared" ref="DE25" si="13">SUM(DE19:DE24)</f>
        <v>87</v>
      </c>
      <c r="DF25" s="314">
        <f t="shared" ref="DF25" si="14">SUM(DF19:DF24)</f>
        <v>101</v>
      </c>
      <c r="DG25" s="315">
        <f t="shared" ref="DG25" si="15">SUM(DG19:DG24)</f>
        <v>80</v>
      </c>
    </row>
    <row r="26" spans="1:112" ht="16" thickBot="1" x14ac:dyDescent="0.25">
      <c r="A26" s="348"/>
      <c r="B26" s="210" t="s">
        <v>969</v>
      </c>
      <c r="C26" s="372"/>
      <c r="D26" s="371"/>
      <c r="E26" s="142" t="s">
        <v>581</v>
      </c>
      <c r="F26" s="143"/>
      <c r="G26" s="144"/>
      <c r="H26" s="145"/>
      <c r="I26" s="163">
        <v>1</v>
      </c>
      <c r="J26" s="164">
        <v>4</v>
      </c>
      <c r="K26" s="144"/>
      <c r="L26" s="149"/>
      <c r="M26" s="150">
        <v>1</v>
      </c>
      <c r="N26" s="144"/>
      <c r="O26" s="165">
        <v>3</v>
      </c>
      <c r="P26" s="166">
        <v>1</v>
      </c>
      <c r="Q26" s="144"/>
      <c r="R26" s="167">
        <v>1</v>
      </c>
      <c r="S26" s="150">
        <v>1</v>
      </c>
      <c r="T26" s="168">
        <v>1</v>
      </c>
      <c r="U26" s="146"/>
      <c r="V26" s="164">
        <v>4</v>
      </c>
      <c r="W26" s="192">
        <v>2</v>
      </c>
      <c r="X26" s="125">
        <f t="shared" si="1"/>
        <v>19</v>
      </c>
      <c r="Y26" s="125">
        <v>104</v>
      </c>
      <c r="AA26" s="292"/>
      <c r="AB26" s="230"/>
      <c r="AC26" s="230"/>
      <c r="AD26" s="230"/>
      <c r="AE26" s="230"/>
      <c r="AF26" s="230"/>
      <c r="AG26" s="230"/>
      <c r="AH26" s="230"/>
      <c r="AI26" s="230"/>
      <c r="AJ26" s="230"/>
      <c r="AK26" s="230"/>
      <c r="AL26" s="230"/>
      <c r="AM26" s="230"/>
      <c r="AN26" s="230"/>
      <c r="AO26" s="230"/>
      <c r="AP26" s="230"/>
      <c r="AQ26" s="230"/>
      <c r="AR26" s="230"/>
      <c r="AS26" s="230"/>
      <c r="AT26" s="230"/>
      <c r="AU26" s="230"/>
      <c r="AV26" s="230"/>
      <c r="AW26" s="230"/>
      <c r="AX26" s="230"/>
      <c r="AY26" s="230"/>
      <c r="AZ26" s="230"/>
      <c r="BA26" s="230"/>
      <c r="BB26" s="230"/>
      <c r="BC26" s="230"/>
      <c r="BD26" s="230"/>
      <c r="BE26" s="230"/>
      <c r="BF26" s="230"/>
      <c r="BG26" s="230"/>
      <c r="BH26" s="230"/>
      <c r="BI26" s="230"/>
      <c r="BJ26" s="230"/>
      <c r="BK26" s="230"/>
      <c r="BL26" s="230"/>
      <c r="BM26" s="230"/>
      <c r="BN26" s="230"/>
      <c r="BO26" s="230"/>
      <c r="BP26" s="230"/>
      <c r="BQ26" s="230"/>
      <c r="BR26" s="230"/>
      <c r="BS26" s="230"/>
      <c r="BT26" s="230"/>
      <c r="BU26" s="230"/>
      <c r="BV26" s="230"/>
      <c r="BW26" s="230"/>
      <c r="BX26" s="230"/>
      <c r="BY26" s="230"/>
      <c r="BZ26" s="230"/>
      <c r="CA26" s="230"/>
      <c r="CB26" s="230"/>
      <c r="CC26" s="230"/>
      <c r="CD26" s="230"/>
      <c r="CE26" s="230"/>
      <c r="CF26" s="230"/>
      <c r="CG26" s="230"/>
      <c r="CH26" s="230"/>
      <c r="CI26" s="230"/>
      <c r="CJ26" s="230"/>
      <c r="CK26" s="230"/>
      <c r="CL26" s="230"/>
      <c r="CM26" s="230"/>
      <c r="CN26" s="230"/>
      <c r="CO26" s="230"/>
      <c r="CP26" s="230"/>
      <c r="CQ26" s="230"/>
      <c r="CR26" s="230"/>
      <c r="CS26" s="230"/>
      <c r="CT26" s="230"/>
      <c r="CU26" s="230"/>
      <c r="CV26" s="230"/>
      <c r="CW26" s="230"/>
      <c r="CX26" s="230"/>
      <c r="CY26" s="230"/>
      <c r="CZ26" s="230"/>
      <c r="DA26" s="230"/>
      <c r="DB26" s="230"/>
    </row>
    <row r="27" spans="1:112" ht="15" customHeight="1" x14ac:dyDescent="0.2">
      <c r="A27" s="348"/>
      <c r="B27" s="210" t="s">
        <v>984</v>
      </c>
      <c r="C27" s="372"/>
      <c r="D27" s="373" t="s">
        <v>842</v>
      </c>
      <c r="E27" s="169" t="s">
        <v>562</v>
      </c>
      <c r="F27" s="170">
        <v>5</v>
      </c>
      <c r="G27" s="171">
        <v>4</v>
      </c>
      <c r="H27" s="172">
        <v>3</v>
      </c>
      <c r="I27" s="173"/>
      <c r="J27" s="174"/>
      <c r="K27" s="174"/>
      <c r="L27" s="175"/>
      <c r="M27" s="176"/>
      <c r="N27" s="174"/>
      <c r="O27" s="177">
        <v>1</v>
      </c>
      <c r="P27" s="178">
        <v>1</v>
      </c>
      <c r="Q27" s="174"/>
      <c r="R27" s="175"/>
      <c r="S27" s="179">
        <v>1</v>
      </c>
      <c r="T27" s="180"/>
      <c r="U27" s="178">
        <v>1</v>
      </c>
      <c r="V27" s="174"/>
      <c r="W27" s="180"/>
      <c r="X27" s="125">
        <f t="shared" si="1"/>
        <v>16</v>
      </c>
      <c r="Y27" s="125"/>
    </row>
    <row r="28" spans="1:112" x14ac:dyDescent="0.2">
      <c r="A28" s="348"/>
      <c r="B28" s="210" t="s">
        <v>999</v>
      </c>
      <c r="C28" s="372"/>
      <c r="D28" s="370"/>
      <c r="E28" s="126" t="s">
        <v>591</v>
      </c>
      <c r="F28" s="139"/>
      <c r="G28" s="131"/>
      <c r="H28" s="129">
        <v>1</v>
      </c>
      <c r="I28" s="140">
        <v>1</v>
      </c>
      <c r="J28" s="128">
        <v>1</v>
      </c>
      <c r="K28" s="131"/>
      <c r="L28" s="141"/>
      <c r="M28" s="181">
        <v>6</v>
      </c>
      <c r="N28" s="182">
        <v>3</v>
      </c>
      <c r="O28" s="136"/>
      <c r="P28" s="140">
        <v>1</v>
      </c>
      <c r="Q28" s="128">
        <v>1</v>
      </c>
      <c r="R28" s="141"/>
      <c r="S28" s="139"/>
      <c r="T28" s="136"/>
      <c r="U28" s="140">
        <v>1</v>
      </c>
      <c r="V28" s="128">
        <v>1</v>
      </c>
      <c r="W28" s="161">
        <v>3</v>
      </c>
      <c r="X28" s="125">
        <f t="shared" si="1"/>
        <v>19</v>
      </c>
      <c r="Y28" s="125"/>
      <c r="AB28" s="279"/>
      <c r="AC28" s="325"/>
      <c r="AD28" t="s">
        <v>1056</v>
      </c>
      <c r="AJ28" t="s">
        <v>1058</v>
      </c>
    </row>
    <row r="29" spans="1:112" ht="16" x14ac:dyDescent="0.2">
      <c r="D29" s="370"/>
      <c r="E29" s="126" t="s">
        <v>580</v>
      </c>
      <c r="F29" s="139"/>
      <c r="G29" s="131"/>
      <c r="H29" s="136"/>
      <c r="I29" s="140">
        <v>1</v>
      </c>
      <c r="J29" s="183">
        <v>15</v>
      </c>
      <c r="K29" s="186">
        <v>2</v>
      </c>
      <c r="L29" s="141"/>
      <c r="M29" s="139"/>
      <c r="N29" s="131"/>
      <c r="O29" s="191">
        <v>2</v>
      </c>
      <c r="P29" s="135">
        <v>3</v>
      </c>
      <c r="Q29" s="137">
        <v>5</v>
      </c>
      <c r="R29" s="184">
        <v>1</v>
      </c>
      <c r="S29" s="127">
        <v>1</v>
      </c>
      <c r="T29" s="191">
        <v>2</v>
      </c>
      <c r="U29" s="130"/>
      <c r="V29" s="131"/>
      <c r="W29" s="191">
        <v>2</v>
      </c>
      <c r="X29" s="193">
        <f t="shared" si="1"/>
        <v>34</v>
      </c>
      <c r="Y29" s="125"/>
      <c r="AB29" s="278"/>
      <c r="AC29" s="326"/>
      <c r="AD29" t="s">
        <v>1057</v>
      </c>
      <c r="AJ29" t="s">
        <v>1059</v>
      </c>
    </row>
    <row r="30" spans="1:112" ht="16" thickBot="1" x14ac:dyDescent="0.25">
      <c r="D30" s="371"/>
      <c r="E30" s="142" t="s">
        <v>581</v>
      </c>
      <c r="F30" s="150">
        <v>1</v>
      </c>
      <c r="G30" s="144"/>
      <c r="H30" s="145"/>
      <c r="I30" s="146"/>
      <c r="J30" s="144"/>
      <c r="K30" s="147">
        <v>1</v>
      </c>
      <c r="L30" s="149"/>
      <c r="M30" s="143"/>
      <c r="N30" s="147">
        <v>1</v>
      </c>
      <c r="O30" s="192">
        <v>2</v>
      </c>
      <c r="P30" s="166">
        <v>1</v>
      </c>
      <c r="Q30" s="185">
        <v>3</v>
      </c>
      <c r="R30" s="149"/>
      <c r="S30" s="143"/>
      <c r="T30" s="168">
        <v>1</v>
      </c>
      <c r="U30" s="163">
        <v>2</v>
      </c>
      <c r="V30" s="147">
        <v>1</v>
      </c>
      <c r="W30" s="192">
        <v>2</v>
      </c>
      <c r="X30" s="125">
        <f t="shared" si="1"/>
        <v>15</v>
      </c>
      <c r="Y30" s="125">
        <v>87</v>
      </c>
      <c r="AB30" s="310"/>
      <c r="AC30" s="327"/>
      <c r="AD30" t="s">
        <v>1055</v>
      </c>
      <c r="AJ30" t="s">
        <v>1060</v>
      </c>
    </row>
    <row r="31" spans="1:112" x14ac:dyDescent="0.2">
      <c r="D31" s="361" t="s">
        <v>850</v>
      </c>
      <c r="E31" s="361"/>
      <c r="F31" s="193">
        <f>SUM(F19:F30)</f>
        <v>25</v>
      </c>
      <c r="G31" s="125">
        <f t="shared" ref="G31:I31" si="16">SUM(G19:G30)</f>
        <v>11</v>
      </c>
      <c r="H31" s="193">
        <f t="shared" si="16"/>
        <v>22</v>
      </c>
      <c r="I31" s="125">
        <f t="shared" si="16"/>
        <v>16</v>
      </c>
      <c r="J31" s="193">
        <f t="shared" ref="J31" si="17">SUM(J19:J30)</f>
        <v>32</v>
      </c>
      <c r="K31" s="125">
        <f t="shared" ref="K31:L31" si="18">SUM(K19:K30)</f>
        <v>11</v>
      </c>
      <c r="L31" s="125">
        <f t="shared" si="18"/>
        <v>11</v>
      </c>
      <c r="M31" s="125">
        <f t="shared" ref="M31" si="19">SUM(M19:M30)</f>
        <v>18</v>
      </c>
      <c r="N31" s="125">
        <f t="shared" ref="N31:O31" si="20">SUM(N19:N30)</f>
        <v>16</v>
      </c>
      <c r="O31" s="125">
        <f t="shared" si="20"/>
        <v>13</v>
      </c>
      <c r="P31" s="125">
        <f t="shared" ref="P31" si="21">SUM(P19:P30)</f>
        <v>14</v>
      </c>
      <c r="Q31" s="125">
        <f t="shared" ref="Q31:R31" si="22">SUM(Q19:Q30)</f>
        <v>16</v>
      </c>
      <c r="R31" s="125">
        <f t="shared" si="22"/>
        <v>10</v>
      </c>
      <c r="S31" s="125">
        <f t="shared" ref="S31" si="23">SUM(S19:S30)</f>
        <v>16</v>
      </c>
      <c r="T31" s="125">
        <f t="shared" ref="T31:U31" si="24">SUM(T19:T30)</f>
        <v>5</v>
      </c>
      <c r="U31" s="125">
        <f t="shared" si="24"/>
        <v>8</v>
      </c>
      <c r="V31" s="125">
        <f t="shared" ref="V31" si="25">SUM(V19:V30)</f>
        <v>6</v>
      </c>
      <c r="W31" s="125">
        <f t="shared" ref="W31" si="26">SUM(W19:W30)</f>
        <v>11</v>
      </c>
      <c r="X31" s="125"/>
    </row>
    <row r="32" spans="1:112" x14ac:dyDescent="0.2">
      <c r="D32" s="350"/>
      <c r="E32" s="350"/>
      <c r="H32" s="125">
        <f>SUM(F19:H30)</f>
        <v>58</v>
      </c>
      <c r="L32" s="125">
        <f>SUM(I19:L30)</f>
        <v>70</v>
      </c>
      <c r="O32" s="125">
        <f>SUM(M19:O30)</f>
        <v>47</v>
      </c>
      <c r="R32" s="125">
        <f>SUM(P19:R30)</f>
        <v>40</v>
      </c>
      <c r="T32" s="125">
        <f>SUM(S19:T30)</f>
        <v>21</v>
      </c>
      <c r="W32" s="125">
        <f>SUM(U19:W30)</f>
        <v>25</v>
      </c>
      <c r="Y32">
        <v>261</v>
      </c>
      <c r="AJ32" t="s">
        <v>1061</v>
      </c>
    </row>
    <row r="34" spans="6:6" ht="23" customHeight="1" x14ac:dyDescent="0.2"/>
    <row r="35" spans="6:6" ht="23" customHeight="1" x14ac:dyDescent="0.2">
      <c r="F35" t="s">
        <v>843</v>
      </c>
    </row>
    <row r="36" spans="6:6" ht="23" customHeight="1" x14ac:dyDescent="0.2">
      <c r="F36" t="s">
        <v>844</v>
      </c>
    </row>
    <row r="37" spans="6:6" ht="23" customHeight="1" x14ac:dyDescent="0.2">
      <c r="F37" t="s">
        <v>845</v>
      </c>
    </row>
    <row r="39" spans="6:6" x14ac:dyDescent="0.2">
      <c r="F39" t="s">
        <v>846</v>
      </c>
    </row>
    <row r="40" spans="6:6" x14ac:dyDescent="0.2">
      <c r="F40" t="s">
        <v>848</v>
      </c>
    </row>
    <row r="41" spans="6:6" x14ac:dyDescent="0.2">
      <c r="F41" t="s">
        <v>847</v>
      </c>
    </row>
    <row r="42" spans="6:6" x14ac:dyDescent="0.2">
      <c r="F42" t="s">
        <v>849</v>
      </c>
    </row>
    <row r="43" spans="6:6" x14ac:dyDescent="0.2">
      <c r="F43" t="s">
        <v>851</v>
      </c>
    </row>
    <row r="55" spans="4:4" x14ac:dyDescent="0.2">
      <c r="D55" s="329"/>
    </row>
    <row r="56" spans="4:4" x14ac:dyDescent="0.2">
      <c r="D56" s="328"/>
    </row>
  </sheetData>
  <mergeCells count="73">
    <mergeCell ref="C17:C19"/>
    <mergeCell ref="X18:Y18"/>
    <mergeCell ref="D17:E17"/>
    <mergeCell ref="F17:H17"/>
    <mergeCell ref="I17:L17"/>
    <mergeCell ref="M17:O17"/>
    <mergeCell ref="P17:R17"/>
    <mergeCell ref="S17:T17"/>
    <mergeCell ref="U17:W17"/>
    <mergeCell ref="D19:D22"/>
    <mergeCell ref="C20:C23"/>
    <mergeCell ref="D23:D26"/>
    <mergeCell ref="C24:C28"/>
    <mergeCell ref="D27:D30"/>
    <mergeCell ref="D31:E32"/>
    <mergeCell ref="CV18:CW18"/>
    <mergeCell ref="CX18:CY18"/>
    <mergeCell ref="BZ18:CA18"/>
    <mergeCell ref="CB18:CC18"/>
    <mergeCell ref="CD18:CE18"/>
    <mergeCell ref="CF18:CG18"/>
    <mergeCell ref="CH18:CI18"/>
    <mergeCell ref="BP18:BQ18"/>
    <mergeCell ref="BR18:BS18"/>
    <mergeCell ref="BT18:BU18"/>
    <mergeCell ref="BV18:BW18"/>
    <mergeCell ref="BX18:BY18"/>
    <mergeCell ref="BF18:BG18"/>
    <mergeCell ref="BL18:BM18"/>
    <mergeCell ref="AV18:AW18"/>
    <mergeCell ref="AZ18:BA18"/>
    <mergeCell ref="BB18:BC18"/>
    <mergeCell ref="BD18:BE18"/>
    <mergeCell ref="DD18:DE18"/>
    <mergeCell ref="CZ18:DA18"/>
    <mergeCell ref="CJ18:CK18"/>
    <mergeCell ref="CL18:CM18"/>
    <mergeCell ref="CN18:CO18"/>
    <mergeCell ref="CP18:CQ18"/>
    <mergeCell ref="CR18:CS18"/>
    <mergeCell ref="CT18:CU18"/>
    <mergeCell ref="DF18:DG18"/>
    <mergeCell ref="AB17:AG17"/>
    <mergeCell ref="AH17:AM17"/>
    <mergeCell ref="AN17:AS17"/>
    <mergeCell ref="AT17:AY17"/>
    <mergeCell ref="CV17:DA17"/>
    <mergeCell ref="AZ17:BE17"/>
    <mergeCell ref="BF17:BK17"/>
    <mergeCell ref="BL17:BQ17"/>
    <mergeCell ref="BR17:BW17"/>
    <mergeCell ref="BX17:CC17"/>
    <mergeCell ref="CD17:CI17"/>
    <mergeCell ref="CJ17:CO17"/>
    <mergeCell ref="CP17:CU17"/>
    <mergeCell ref="AB18:AC18"/>
    <mergeCell ref="AX18:AY18"/>
    <mergeCell ref="A17:A19"/>
    <mergeCell ref="A20:A23"/>
    <mergeCell ref="A24:A28"/>
    <mergeCell ref="DB18:DC18"/>
    <mergeCell ref="AD18:AE18"/>
    <mergeCell ref="AF18:AG18"/>
    <mergeCell ref="AH18:AI18"/>
    <mergeCell ref="AJ18:AK18"/>
    <mergeCell ref="AL18:AM18"/>
    <mergeCell ref="AN18:AO18"/>
    <mergeCell ref="AP18:AQ18"/>
    <mergeCell ref="AR18:AS18"/>
    <mergeCell ref="AT18:AU18"/>
    <mergeCell ref="BH18:BI18"/>
    <mergeCell ref="BJ18:BK18"/>
    <mergeCell ref="BN18:BO1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386CD-DCDD-F448-A6E2-56B02BDB0660}">
  <dimension ref="A1:F15"/>
  <sheetViews>
    <sheetView topLeftCell="B1" zoomScale="120" zoomScaleNormal="120" workbookViewId="0">
      <selection activeCell="C11" sqref="C11"/>
    </sheetView>
  </sheetViews>
  <sheetFormatPr baseColWidth="10" defaultRowHeight="15" x14ac:dyDescent="0.2"/>
  <cols>
    <col min="1" max="1" width="25.5" style="226" customWidth="1"/>
    <col min="2" max="2" width="34.6640625" style="226" customWidth="1"/>
    <col min="3" max="3" width="34" style="226" customWidth="1"/>
    <col min="4" max="4" width="109.5" style="226" customWidth="1"/>
    <col min="5" max="5" width="10.83203125" style="226"/>
  </cols>
  <sheetData>
    <row r="1" spans="1:6" ht="37" customHeight="1" x14ac:dyDescent="0.2">
      <c r="A1" s="334" t="s">
        <v>550</v>
      </c>
      <c r="B1" s="335" t="s">
        <v>1074</v>
      </c>
      <c r="C1" s="335" t="s">
        <v>1075</v>
      </c>
      <c r="D1" s="336" t="s">
        <v>1076</v>
      </c>
    </row>
    <row r="2" spans="1:6" ht="19" customHeight="1" x14ac:dyDescent="0.2">
      <c r="A2" s="374" t="s">
        <v>1073</v>
      </c>
      <c r="B2" s="376" t="s">
        <v>1100</v>
      </c>
      <c r="C2" s="337" t="s">
        <v>6</v>
      </c>
      <c r="D2" s="338" t="s">
        <v>1089</v>
      </c>
    </row>
    <row r="3" spans="1:6" ht="19" customHeight="1" x14ac:dyDescent="0.2">
      <c r="A3" s="374"/>
      <c r="B3" s="376"/>
      <c r="C3" s="337" t="s">
        <v>1077</v>
      </c>
      <c r="D3" s="338" t="s">
        <v>1088</v>
      </c>
    </row>
    <row r="4" spans="1:6" ht="19" customHeight="1" x14ac:dyDescent="0.2">
      <c r="A4" s="374"/>
      <c r="B4" s="376"/>
      <c r="C4" s="337" t="s">
        <v>1078</v>
      </c>
      <c r="D4" s="338" t="s">
        <v>1090</v>
      </c>
    </row>
    <row r="5" spans="1:6" ht="19" customHeight="1" x14ac:dyDescent="0.2">
      <c r="A5" s="374" t="s">
        <v>125</v>
      </c>
      <c r="B5" s="376" t="s">
        <v>1086</v>
      </c>
      <c r="C5" s="337" t="s">
        <v>1079</v>
      </c>
      <c r="D5" s="338" t="s">
        <v>1093</v>
      </c>
      <c r="F5" t="s">
        <v>1105</v>
      </c>
    </row>
    <row r="6" spans="1:6" ht="19" customHeight="1" x14ac:dyDescent="0.2">
      <c r="A6" s="374"/>
      <c r="B6" s="376"/>
      <c r="C6" s="337" t="s">
        <v>124</v>
      </c>
      <c r="D6" s="338" t="s">
        <v>1094</v>
      </c>
      <c r="F6" t="s">
        <v>1103</v>
      </c>
    </row>
    <row r="7" spans="1:6" ht="19" customHeight="1" x14ac:dyDescent="0.2">
      <c r="A7" s="374"/>
      <c r="B7" s="376"/>
      <c r="C7" s="337" t="s">
        <v>1081</v>
      </c>
      <c r="D7" s="338" t="s">
        <v>1092</v>
      </c>
      <c r="F7" t="s">
        <v>1104</v>
      </c>
    </row>
    <row r="8" spans="1:6" ht="19" customHeight="1" x14ac:dyDescent="0.2">
      <c r="A8" s="374"/>
      <c r="B8" s="376"/>
      <c r="C8" s="337" t="s">
        <v>1080</v>
      </c>
      <c r="D8" s="231" t="s">
        <v>1091</v>
      </c>
    </row>
    <row r="9" spans="1:6" ht="19" customHeight="1" x14ac:dyDescent="0.2">
      <c r="A9" s="374" t="s">
        <v>1102</v>
      </c>
      <c r="B9" s="376" t="s">
        <v>1099</v>
      </c>
      <c r="C9" s="337" t="s">
        <v>1082</v>
      </c>
      <c r="D9" s="338" t="s">
        <v>1101</v>
      </c>
    </row>
    <row r="10" spans="1:6" ht="19" customHeight="1" x14ac:dyDescent="0.2">
      <c r="A10" s="374"/>
      <c r="B10" s="376"/>
      <c r="C10" s="337" t="s">
        <v>1083</v>
      </c>
      <c r="D10" s="338" t="s">
        <v>1095</v>
      </c>
    </row>
    <row r="11" spans="1:6" ht="19" customHeight="1" x14ac:dyDescent="0.2">
      <c r="A11" s="374" t="s">
        <v>447</v>
      </c>
      <c r="B11" s="376" t="s">
        <v>1087</v>
      </c>
      <c r="C11" s="337" t="s">
        <v>1084</v>
      </c>
      <c r="D11" s="338" t="s">
        <v>1096</v>
      </c>
    </row>
    <row r="12" spans="1:6" ht="19" customHeight="1" x14ac:dyDescent="0.2">
      <c r="A12" s="374"/>
      <c r="B12" s="376"/>
      <c r="C12" s="337" t="s">
        <v>1085</v>
      </c>
      <c r="D12" s="338" t="s">
        <v>1097</v>
      </c>
    </row>
    <row r="13" spans="1:6" ht="19" customHeight="1" thickBot="1" x14ac:dyDescent="0.25">
      <c r="A13" s="375"/>
      <c r="B13" s="377"/>
      <c r="C13" s="339" t="s">
        <v>825</v>
      </c>
      <c r="D13" s="340" t="s">
        <v>1098</v>
      </c>
    </row>
    <row r="14" spans="1:6" x14ac:dyDescent="0.2">
      <c r="A14" s="333"/>
      <c r="B14" s="333"/>
      <c r="C14" s="333"/>
      <c r="D14" s="333"/>
    </row>
    <row r="15" spans="1:6" x14ac:dyDescent="0.2">
      <c r="A15" s="333"/>
      <c r="B15" s="333"/>
      <c r="C15" s="333"/>
      <c r="D15" s="333"/>
    </row>
  </sheetData>
  <mergeCells count="8">
    <mergeCell ref="A2:A4"/>
    <mergeCell ref="A5:A8"/>
    <mergeCell ref="A9:A10"/>
    <mergeCell ref="A11:A13"/>
    <mergeCell ref="B2:B4"/>
    <mergeCell ref="B5:B8"/>
    <mergeCell ref="B9:B10"/>
    <mergeCell ref="B11:B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1F2BD-C4CF-4C4C-BC68-C17607C84034}">
  <dimension ref="A1:E68"/>
  <sheetViews>
    <sheetView workbookViewId="0">
      <selection activeCell="D84" sqref="D84"/>
    </sheetView>
  </sheetViews>
  <sheetFormatPr baseColWidth="10" defaultRowHeight="15" x14ac:dyDescent="0.2"/>
  <cols>
    <col min="1" max="1" width="10" customWidth="1"/>
    <col min="2" max="2" width="65" customWidth="1"/>
    <col min="3" max="4" width="38" customWidth="1"/>
    <col min="5" max="5" width="34" customWidth="1"/>
    <col min="8" max="9" width="26.5" customWidth="1"/>
    <col min="10" max="12" width="33.6640625" customWidth="1"/>
  </cols>
  <sheetData>
    <row r="1" spans="1:5" ht="28" x14ac:dyDescent="0.2">
      <c r="A1" s="195" t="s">
        <v>852</v>
      </c>
      <c r="B1" s="195" t="s">
        <v>853</v>
      </c>
      <c r="C1" s="195" t="s">
        <v>1</v>
      </c>
      <c r="D1" s="195" t="s">
        <v>2</v>
      </c>
      <c r="E1" s="195" t="s">
        <v>3</v>
      </c>
    </row>
    <row r="2" spans="1:5" ht="49" customHeight="1" x14ac:dyDescent="0.2">
      <c r="A2" s="196" t="s">
        <v>854</v>
      </c>
      <c r="B2" s="197" t="s">
        <v>855</v>
      </c>
      <c r="C2" s="198" t="s">
        <v>856</v>
      </c>
      <c r="D2" s="198" t="s">
        <v>857</v>
      </c>
      <c r="E2" s="199" t="s">
        <v>858</v>
      </c>
    </row>
    <row r="3" spans="1:5" ht="65" x14ac:dyDescent="0.2">
      <c r="A3" s="196" t="s">
        <v>854</v>
      </c>
      <c r="B3" s="197" t="s">
        <v>859</v>
      </c>
      <c r="C3" s="198" t="s">
        <v>860</v>
      </c>
      <c r="D3" s="198" t="s">
        <v>857</v>
      </c>
      <c r="E3" s="199" t="s">
        <v>858</v>
      </c>
    </row>
    <row r="4" spans="1:5" ht="78" x14ac:dyDescent="0.2">
      <c r="A4" s="196" t="s">
        <v>854</v>
      </c>
      <c r="B4" s="197" t="s">
        <v>861</v>
      </c>
      <c r="C4" s="198" t="s">
        <v>862</v>
      </c>
      <c r="D4" s="198" t="s">
        <v>857</v>
      </c>
      <c r="E4" s="199" t="s">
        <v>858</v>
      </c>
    </row>
    <row r="5" spans="1:5" ht="26" x14ac:dyDescent="0.2">
      <c r="A5" s="196" t="s">
        <v>854</v>
      </c>
      <c r="B5" s="197" t="s">
        <v>863</v>
      </c>
      <c r="C5" s="198" t="s">
        <v>864</v>
      </c>
      <c r="D5" s="198" t="s">
        <v>857</v>
      </c>
      <c r="E5" s="199" t="s">
        <v>858</v>
      </c>
    </row>
    <row r="6" spans="1:5" ht="39" x14ac:dyDescent="0.2">
      <c r="A6" s="196" t="s">
        <v>854</v>
      </c>
      <c r="B6" s="197" t="s">
        <v>865</v>
      </c>
      <c r="C6" s="198" t="s">
        <v>866</v>
      </c>
      <c r="D6" s="198" t="s">
        <v>857</v>
      </c>
      <c r="E6" s="199" t="s">
        <v>858</v>
      </c>
    </row>
    <row r="7" spans="1:5" ht="39" x14ac:dyDescent="0.2">
      <c r="A7" s="200" t="s">
        <v>867</v>
      </c>
      <c r="B7" s="197" t="s">
        <v>868</v>
      </c>
      <c r="C7" s="198" t="s">
        <v>869</v>
      </c>
      <c r="D7" s="198" t="s">
        <v>870</v>
      </c>
      <c r="E7" s="199" t="s">
        <v>858</v>
      </c>
    </row>
    <row r="8" spans="1:5" ht="39" x14ac:dyDescent="0.2">
      <c r="A8" s="200" t="s">
        <v>867</v>
      </c>
      <c r="B8" s="197" t="s">
        <v>871</v>
      </c>
      <c r="C8" s="198" t="s">
        <v>872</v>
      </c>
      <c r="D8" s="198" t="s">
        <v>870</v>
      </c>
      <c r="E8" s="199" t="s">
        <v>858</v>
      </c>
    </row>
    <row r="9" spans="1:5" ht="52" x14ac:dyDescent="0.2">
      <c r="A9" s="200" t="s">
        <v>867</v>
      </c>
      <c r="B9" s="197" t="s">
        <v>873</v>
      </c>
      <c r="C9" s="198" t="s">
        <v>874</v>
      </c>
      <c r="D9" s="198" t="s">
        <v>870</v>
      </c>
      <c r="E9" s="199" t="s">
        <v>858</v>
      </c>
    </row>
    <row r="10" spans="1:5" ht="39" x14ac:dyDescent="0.2">
      <c r="A10" s="200" t="s">
        <v>867</v>
      </c>
      <c r="B10" s="197" t="s">
        <v>875</v>
      </c>
      <c r="C10" s="198" t="s">
        <v>876</v>
      </c>
      <c r="D10" s="198" t="s">
        <v>870</v>
      </c>
      <c r="E10" s="199" t="s">
        <v>858</v>
      </c>
    </row>
    <row r="11" spans="1:5" ht="39" x14ac:dyDescent="0.2">
      <c r="A11" s="200" t="s">
        <v>867</v>
      </c>
      <c r="B11" s="197" t="s">
        <v>877</v>
      </c>
      <c r="C11" s="198" t="s">
        <v>878</v>
      </c>
      <c r="D11" s="198" t="s">
        <v>870</v>
      </c>
      <c r="E11" s="199" t="s">
        <v>858</v>
      </c>
    </row>
    <row r="12" spans="1:5" ht="65" x14ac:dyDescent="0.2">
      <c r="A12" s="201" t="s">
        <v>879</v>
      </c>
      <c r="B12" s="197" t="s">
        <v>880</v>
      </c>
      <c r="C12" s="198" t="s">
        <v>881</v>
      </c>
      <c r="D12" s="198" t="s">
        <v>882</v>
      </c>
      <c r="E12" s="199" t="s">
        <v>858</v>
      </c>
    </row>
    <row r="13" spans="1:5" ht="52" x14ac:dyDescent="0.2">
      <c r="A13" s="201" t="s">
        <v>879</v>
      </c>
      <c r="B13" s="197" t="s">
        <v>883</v>
      </c>
      <c r="C13" s="198" t="s">
        <v>884</v>
      </c>
      <c r="D13" s="198" t="s">
        <v>882</v>
      </c>
      <c r="E13" s="199" t="s">
        <v>858</v>
      </c>
    </row>
    <row r="14" spans="1:5" ht="78" x14ac:dyDescent="0.2">
      <c r="A14" s="201" t="s">
        <v>879</v>
      </c>
      <c r="B14" s="197" t="s">
        <v>885</v>
      </c>
      <c r="C14" s="198" t="s">
        <v>886</v>
      </c>
      <c r="D14" s="198" t="s">
        <v>882</v>
      </c>
      <c r="E14" s="199" t="s">
        <v>858</v>
      </c>
    </row>
    <row r="15" spans="1:5" ht="26" x14ac:dyDescent="0.2">
      <c r="A15" s="201" t="s">
        <v>879</v>
      </c>
      <c r="B15" s="197" t="s">
        <v>887</v>
      </c>
      <c r="C15" s="198" t="s">
        <v>888</v>
      </c>
      <c r="D15" s="198" t="s">
        <v>882</v>
      </c>
      <c r="E15" s="199" t="s">
        <v>858</v>
      </c>
    </row>
    <row r="16" spans="1:5" ht="52" x14ac:dyDescent="0.2">
      <c r="A16" s="201" t="s">
        <v>879</v>
      </c>
      <c r="B16" s="197" t="s">
        <v>889</v>
      </c>
      <c r="C16" s="198" t="s">
        <v>890</v>
      </c>
      <c r="D16" s="198" t="s">
        <v>882</v>
      </c>
      <c r="E16" s="199" t="s">
        <v>858</v>
      </c>
    </row>
    <row r="17" spans="1:5" ht="26" x14ac:dyDescent="0.2">
      <c r="A17" s="202" t="s">
        <v>854</v>
      </c>
      <c r="B17" s="203" t="s">
        <v>891</v>
      </c>
      <c r="C17" s="204" t="s">
        <v>892</v>
      </c>
      <c r="D17" s="204" t="s">
        <v>893</v>
      </c>
      <c r="E17" s="205" t="s">
        <v>894</v>
      </c>
    </row>
    <row r="18" spans="1:5" ht="26" x14ac:dyDescent="0.2">
      <c r="A18" s="206" t="s">
        <v>867</v>
      </c>
      <c r="B18" s="203" t="s">
        <v>895</v>
      </c>
      <c r="C18" s="204" t="s">
        <v>896</v>
      </c>
      <c r="D18" s="204" t="s">
        <v>893</v>
      </c>
      <c r="E18" s="205" t="s">
        <v>894</v>
      </c>
    </row>
    <row r="19" spans="1:5" ht="52" x14ac:dyDescent="0.2">
      <c r="A19" s="207" t="s">
        <v>879</v>
      </c>
      <c r="B19" s="203" t="s">
        <v>897</v>
      </c>
      <c r="C19" s="204" t="s">
        <v>898</v>
      </c>
      <c r="D19" s="204" t="s">
        <v>893</v>
      </c>
      <c r="E19" s="205" t="s">
        <v>894</v>
      </c>
    </row>
    <row r="20" spans="1:5" ht="26" x14ac:dyDescent="0.2">
      <c r="A20" s="207" t="s">
        <v>879</v>
      </c>
      <c r="B20" s="203" t="s">
        <v>899</v>
      </c>
      <c r="C20" s="204" t="s">
        <v>900</v>
      </c>
      <c r="D20" s="204" t="s">
        <v>893</v>
      </c>
      <c r="E20" s="205" t="s">
        <v>894</v>
      </c>
    </row>
    <row r="21" spans="1:5" ht="65" x14ac:dyDescent="0.2">
      <c r="A21" s="202" t="s">
        <v>854</v>
      </c>
      <c r="B21" s="203" t="s">
        <v>901</v>
      </c>
      <c r="C21" s="204" t="s">
        <v>902</v>
      </c>
      <c r="D21" s="204" t="s">
        <v>903</v>
      </c>
      <c r="E21" s="205" t="s">
        <v>894</v>
      </c>
    </row>
    <row r="22" spans="1:5" ht="65" x14ac:dyDescent="0.2">
      <c r="A22" s="202" t="s">
        <v>854</v>
      </c>
      <c r="B22" s="203" t="s">
        <v>904</v>
      </c>
      <c r="C22" s="204" t="s">
        <v>905</v>
      </c>
      <c r="D22" s="204" t="s">
        <v>903</v>
      </c>
      <c r="E22" s="205" t="s">
        <v>894</v>
      </c>
    </row>
    <row r="23" spans="1:5" ht="52" x14ac:dyDescent="0.2">
      <c r="A23" s="202" t="s">
        <v>854</v>
      </c>
      <c r="B23" s="203" t="s">
        <v>906</v>
      </c>
      <c r="C23" s="204" t="s">
        <v>907</v>
      </c>
      <c r="D23" s="204" t="s">
        <v>903</v>
      </c>
      <c r="E23" s="205" t="s">
        <v>894</v>
      </c>
    </row>
    <row r="24" spans="1:5" ht="65" x14ac:dyDescent="0.2">
      <c r="A24" s="202" t="s">
        <v>854</v>
      </c>
      <c r="B24" s="203" t="s">
        <v>908</v>
      </c>
      <c r="C24" s="204" t="s">
        <v>909</v>
      </c>
      <c r="D24" s="204" t="s">
        <v>903</v>
      </c>
      <c r="E24" s="205" t="s">
        <v>894</v>
      </c>
    </row>
    <row r="25" spans="1:5" ht="39" x14ac:dyDescent="0.2">
      <c r="A25" s="202" t="s">
        <v>854</v>
      </c>
      <c r="B25" s="203" t="s">
        <v>910</v>
      </c>
      <c r="C25" s="204" t="s">
        <v>911</v>
      </c>
      <c r="D25" s="204" t="s">
        <v>903</v>
      </c>
      <c r="E25" s="205" t="s">
        <v>894</v>
      </c>
    </row>
    <row r="26" spans="1:5" ht="26" x14ac:dyDescent="0.2">
      <c r="A26" s="202" t="s">
        <v>854</v>
      </c>
      <c r="B26" s="203" t="s">
        <v>912</v>
      </c>
      <c r="C26" s="204" t="s">
        <v>913</v>
      </c>
      <c r="D26" s="204" t="s">
        <v>903</v>
      </c>
      <c r="E26" s="205" t="s">
        <v>894</v>
      </c>
    </row>
    <row r="27" spans="1:5" ht="39" x14ac:dyDescent="0.2">
      <c r="A27" s="206" t="s">
        <v>867</v>
      </c>
      <c r="B27" s="203" t="s">
        <v>914</v>
      </c>
      <c r="C27" s="204" t="s">
        <v>915</v>
      </c>
      <c r="D27" s="204" t="s">
        <v>916</v>
      </c>
      <c r="E27" s="205" t="s">
        <v>894</v>
      </c>
    </row>
    <row r="28" spans="1:5" ht="52" x14ac:dyDescent="0.2">
      <c r="A28" s="206" t="s">
        <v>867</v>
      </c>
      <c r="B28" s="203" t="s">
        <v>917</v>
      </c>
      <c r="C28" s="204" t="s">
        <v>918</v>
      </c>
      <c r="D28" s="204" t="s">
        <v>916</v>
      </c>
      <c r="E28" s="205" t="s">
        <v>894</v>
      </c>
    </row>
    <row r="29" spans="1:5" ht="65" x14ac:dyDescent="0.2">
      <c r="A29" s="206" t="s">
        <v>867</v>
      </c>
      <c r="B29" s="203" t="s">
        <v>919</v>
      </c>
      <c r="C29" s="204" t="s">
        <v>920</v>
      </c>
      <c r="D29" s="204" t="s">
        <v>916</v>
      </c>
      <c r="E29" s="205" t="s">
        <v>894</v>
      </c>
    </row>
    <row r="30" spans="1:5" ht="26" x14ac:dyDescent="0.2">
      <c r="A30" s="206" t="s">
        <v>867</v>
      </c>
      <c r="B30" s="203" t="s">
        <v>921</v>
      </c>
      <c r="C30" s="204" t="s">
        <v>922</v>
      </c>
      <c r="D30" s="204" t="s">
        <v>916</v>
      </c>
      <c r="E30" s="205" t="s">
        <v>894</v>
      </c>
    </row>
    <row r="31" spans="1:5" ht="26" x14ac:dyDescent="0.2">
      <c r="A31" s="206" t="s">
        <v>867</v>
      </c>
      <c r="B31" s="203" t="s">
        <v>923</v>
      </c>
      <c r="C31" s="204" t="s">
        <v>924</v>
      </c>
      <c r="D31" s="204" t="s">
        <v>916</v>
      </c>
      <c r="E31" s="205" t="s">
        <v>894</v>
      </c>
    </row>
    <row r="32" spans="1:5" ht="65" x14ac:dyDescent="0.2">
      <c r="A32" s="206" t="s">
        <v>867</v>
      </c>
      <c r="B32" s="203" t="s">
        <v>925</v>
      </c>
      <c r="C32" s="204" t="s">
        <v>926</v>
      </c>
      <c r="D32" s="204" t="s">
        <v>916</v>
      </c>
      <c r="E32" s="205" t="s">
        <v>894</v>
      </c>
    </row>
    <row r="33" spans="1:5" ht="26" x14ac:dyDescent="0.2">
      <c r="A33" s="207" t="s">
        <v>879</v>
      </c>
      <c r="B33" s="203" t="s">
        <v>927</v>
      </c>
      <c r="C33" s="204" t="s">
        <v>928</v>
      </c>
      <c r="D33" s="204" t="s">
        <v>929</v>
      </c>
      <c r="E33" s="205" t="s">
        <v>894</v>
      </c>
    </row>
    <row r="34" spans="1:5" ht="26" x14ac:dyDescent="0.2">
      <c r="A34" s="207" t="s">
        <v>879</v>
      </c>
      <c r="B34" s="203" t="s">
        <v>930</v>
      </c>
      <c r="C34" s="204" t="s">
        <v>931</v>
      </c>
      <c r="D34" s="204" t="s">
        <v>929</v>
      </c>
      <c r="E34" s="205" t="s">
        <v>894</v>
      </c>
    </row>
    <row r="35" spans="1:5" ht="52" x14ac:dyDescent="0.2">
      <c r="A35" s="207" t="s">
        <v>879</v>
      </c>
      <c r="B35" s="203" t="s">
        <v>932</v>
      </c>
      <c r="C35" s="204" t="s">
        <v>933</v>
      </c>
      <c r="D35" s="204" t="s">
        <v>929</v>
      </c>
      <c r="E35" s="205" t="s">
        <v>894</v>
      </c>
    </row>
    <row r="36" spans="1:5" ht="39" x14ac:dyDescent="0.2">
      <c r="A36" s="207" t="s">
        <v>879</v>
      </c>
      <c r="B36" s="203" t="s">
        <v>934</v>
      </c>
      <c r="C36" s="204" t="s">
        <v>935</v>
      </c>
      <c r="D36" s="204" t="s">
        <v>929</v>
      </c>
      <c r="E36" s="205" t="s">
        <v>894</v>
      </c>
    </row>
    <row r="37" spans="1:5" ht="65" x14ac:dyDescent="0.2">
      <c r="A37" s="207" t="s">
        <v>879</v>
      </c>
      <c r="B37" s="203" t="s">
        <v>936</v>
      </c>
      <c r="C37" s="204" t="s">
        <v>937</v>
      </c>
      <c r="D37" s="204" t="s">
        <v>929</v>
      </c>
      <c r="E37" s="205" t="s">
        <v>894</v>
      </c>
    </row>
    <row r="38" spans="1:5" ht="39" x14ac:dyDescent="0.2">
      <c r="A38" s="207" t="s">
        <v>879</v>
      </c>
      <c r="B38" s="203" t="s">
        <v>938</v>
      </c>
      <c r="C38" s="204" t="s">
        <v>939</v>
      </c>
      <c r="D38" s="204" t="s">
        <v>929</v>
      </c>
      <c r="E38" s="205" t="s">
        <v>894</v>
      </c>
    </row>
    <row r="39" spans="1:5" ht="26" x14ac:dyDescent="0.2">
      <c r="A39" s="208" t="s">
        <v>854</v>
      </c>
      <c r="B39" s="209" t="s">
        <v>940</v>
      </c>
      <c r="C39" s="210" t="s">
        <v>941</v>
      </c>
      <c r="D39" s="210" t="s">
        <v>942</v>
      </c>
      <c r="E39" s="211" t="s">
        <v>943</v>
      </c>
    </row>
    <row r="40" spans="1:5" ht="26" x14ac:dyDescent="0.2">
      <c r="A40" s="212" t="s">
        <v>867</v>
      </c>
      <c r="B40" s="209" t="s">
        <v>944</v>
      </c>
      <c r="C40" s="210" t="s">
        <v>945</v>
      </c>
      <c r="D40" s="210" t="s">
        <v>942</v>
      </c>
      <c r="E40" s="211" t="s">
        <v>943</v>
      </c>
    </row>
    <row r="41" spans="1:5" ht="52" x14ac:dyDescent="0.2">
      <c r="A41" s="212" t="s">
        <v>867</v>
      </c>
      <c r="B41" s="209" t="s">
        <v>946</v>
      </c>
      <c r="C41" s="210" t="s">
        <v>947</v>
      </c>
      <c r="D41" s="210" t="s">
        <v>942</v>
      </c>
      <c r="E41" s="211" t="s">
        <v>943</v>
      </c>
    </row>
    <row r="42" spans="1:5" ht="78" x14ac:dyDescent="0.2">
      <c r="A42" s="212" t="s">
        <v>867</v>
      </c>
      <c r="B42" s="209" t="s">
        <v>948</v>
      </c>
      <c r="C42" s="210" t="s">
        <v>949</v>
      </c>
      <c r="D42" s="210" t="s">
        <v>942</v>
      </c>
      <c r="E42" s="211" t="s">
        <v>943</v>
      </c>
    </row>
    <row r="43" spans="1:5" ht="52" x14ac:dyDescent="0.2">
      <c r="A43" s="213" t="s">
        <v>879</v>
      </c>
      <c r="B43" s="209" t="s">
        <v>950</v>
      </c>
      <c r="C43" s="210" t="s">
        <v>951</v>
      </c>
      <c r="D43" s="210" t="s">
        <v>942</v>
      </c>
      <c r="E43" s="211" t="s">
        <v>943</v>
      </c>
    </row>
    <row r="44" spans="1:5" ht="39" x14ac:dyDescent="0.2">
      <c r="A44" s="213" t="s">
        <v>879</v>
      </c>
      <c r="B44" s="209" t="s">
        <v>952</v>
      </c>
      <c r="C44" s="210" t="s">
        <v>953</v>
      </c>
      <c r="D44" s="210" t="s">
        <v>942</v>
      </c>
      <c r="E44" s="211" t="s">
        <v>943</v>
      </c>
    </row>
    <row r="45" spans="1:5" ht="39" x14ac:dyDescent="0.2">
      <c r="A45" s="208" t="s">
        <v>854</v>
      </c>
      <c r="B45" s="209" t="s">
        <v>954</v>
      </c>
      <c r="C45" s="210" t="s">
        <v>955</v>
      </c>
      <c r="D45" s="210" t="s">
        <v>956</v>
      </c>
      <c r="E45" s="211" t="s">
        <v>943</v>
      </c>
    </row>
    <row r="46" spans="1:5" ht="39" x14ac:dyDescent="0.2">
      <c r="A46" s="208" t="s">
        <v>854</v>
      </c>
      <c r="B46" s="209" t="s">
        <v>957</v>
      </c>
      <c r="C46" s="210" t="s">
        <v>958</v>
      </c>
      <c r="D46" s="210" t="s">
        <v>956</v>
      </c>
      <c r="E46" s="211" t="s">
        <v>943</v>
      </c>
    </row>
    <row r="47" spans="1:5" ht="39" x14ac:dyDescent="0.2">
      <c r="A47" s="208" t="s">
        <v>854</v>
      </c>
      <c r="B47" s="209" t="s">
        <v>959</v>
      </c>
      <c r="C47" s="210" t="s">
        <v>960</v>
      </c>
      <c r="D47" s="210" t="s">
        <v>956</v>
      </c>
      <c r="E47" s="211" t="s">
        <v>943</v>
      </c>
    </row>
    <row r="48" spans="1:5" ht="39" x14ac:dyDescent="0.2">
      <c r="A48" s="208" t="s">
        <v>854</v>
      </c>
      <c r="B48" s="209" t="s">
        <v>961</v>
      </c>
      <c r="C48" s="210" t="s">
        <v>962</v>
      </c>
      <c r="D48" s="210" t="s">
        <v>956</v>
      </c>
      <c r="E48" s="211" t="s">
        <v>943</v>
      </c>
    </row>
    <row r="49" spans="1:5" ht="52" x14ac:dyDescent="0.2">
      <c r="A49" s="208" t="s">
        <v>854</v>
      </c>
      <c r="B49" s="209" t="s">
        <v>963</v>
      </c>
      <c r="C49" s="210" t="s">
        <v>964</v>
      </c>
      <c r="D49" s="210" t="s">
        <v>956</v>
      </c>
      <c r="E49" s="211" t="s">
        <v>943</v>
      </c>
    </row>
    <row r="50" spans="1:5" ht="65" x14ac:dyDescent="0.2">
      <c r="A50" s="208" t="s">
        <v>854</v>
      </c>
      <c r="B50" s="209" t="s">
        <v>965</v>
      </c>
      <c r="C50" s="210" t="s">
        <v>966</v>
      </c>
      <c r="D50" s="210" t="s">
        <v>956</v>
      </c>
      <c r="E50" s="211" t="s">
        <v>943</v>
      </c>
    </row>
    <row r="51" spans="1:5" ht="26" x14ac:dyDescent="0.2">
      <c r="A51" s="212" t="s">
        <v>867</v>
      </c>
      <c r="B51" s="209" t="s">
        <v>967</v>
      </c>
      <c r="C51" s="210" t="s">
        <v>968</v>
      </c>
      <c r="D51" s="210" t="s">
        <v>969</v>
      </c>
      <c r="E51" s="211" t="s">
        <v>943</v>
      </c>
    </row>
    <row r="52" spans="1:5" ht="26" x14ac:dyDescent="0.2">
      <c r="A52" s="212" t="s">
        <v>867</v>
      </c>
      <c r="B52" s="209" t="s">
        <v>970</v>
      </c>
      <c r="C52" s="210" t="s">
        <v>971</v>
      </c>
      <c r="D52" s="210" t="s">
        <v>969</v>
      </c>
      <c r="E52" s="211" t="s">
        <v>943</v>
      </c>
    </row>
    <row r="53" spans="1:5" ht="39" x14ac:dyDescent="0.2">
      <c r="A53" s="212" t="s">
        <v>867</v>
      </c>
      <c r="B53" s="209" t="s">
        <v>972</v>
      </c>
      <c r="C53" s="210" t="s">
        <v>973</v>
      </c>
      <c r="D53" s="210" t="s">
        <v>969</v>
      </c>
      <c r="E53" s="211" t="s">
        <v>943</v>
      </c>
    </row>
    <row r="54" spans="1:5" ht="26" x14ac:dyDescent="0.2">
      <c r="A54" s="212" t="s">
        <v>867</v>
      </c>
      <c r="B54" s="209" t="s">
        <v>974</v>
      </c>
      <c r="C54" s="210" t="s">
        <v>975</v>
      </c>
      <c r="D54" s="210" t="s">
        <v>969</v>
      </c>
      <c r="E54" s="211" t="s">
        <v>943</v>
      </c>
    </row>
    <row r="55" spans="1:5" ht="26" x14ac:dyDescent="0.2">
      <c r="A55" s="212" t="s">
        <v>867</v>
      </c>
      <c r="B55" s="209" t="s">
        <v>976</v>
      </c>
      <c r="C55" s="210" t="s">
        <v>977</v>
      </c>
      <c r="D55" s="210" t="s">
        <v>969</v>
      </c>
      <c r="E55" s="211" t="s">
        <v>943</v>
      </c>
    </row>
    <row r="56" spans="1:5" ht="78" x14ac:dyDescent="0.2">
      <c r="A56" s="212" t="s">
        <v>867</v>
      </c>
      <c r="B56" s="209" t="s">
        <v>978</v>
      </c>
      <c r="C56" s="210" t="s">
        <v>979</v>
      </c>
      <c r="D56" s="210" t="s">
        <v>969</v>
      </c>
      <c r="E56" s="211" t="s">
        <v>943</v>
      </c>
    </row>
    <row r="57" spans="1:5" ht="26" x14ac:dyDescent="0.2">
      <c r="A57" s="212" t="s">
        <v>867</v>
      </c>
      <c r="B57" s="209" t="s">
        <v>980</v>
      </c>
      <c r="C57" s="210" t="s">
        <v>981</v>
      </c>
      <c r="D57" s="210" t="s">
        <v>969</v>
      </c>
      <c r="E57" s="211" t="s">
        <v>943</v>
      </c>
    </row>
    <row r="58" spans="1:5" ht="26" x14ac:dyDescent="0.2">
      <c r="A58" s="213" t="s">
        <v>879</v>
      </c>
      <c r="B58" s="209" t="s">
        <v>982</v>
      </c>
      <c r="C58" s="210" t="s">
        <v>983</v>
      </c>
      <c r="D58" s="210" t="s">
        <v>984</v>
      </c>
      <c r="E58" s="211" t="s">
        <v>943</v>
      </c>
    </row>
    <row r="59" spans="1:5" ht="39" x14ac:dyDescent="0.2">
      <c r="A59" s="213" t="s">
        <v>879</v>
      </c>
      <c r="B59" s="209" t="s">
        <v>985</v>
      </c>
      <c r="C59" s="210" t="s">
        <v>986</v>
      </c>
      <c r="D59" s="210" t="s">
        <v>984</v>
      </c>
      <c r="E59" s="211" t="s">
        <v>943</v>
      </c>
    </row>
    <row r="60" spans="1:5" ht="39" x14ac:dyDescent="0.2">
      <c r="A60" s="213" t="s">
        <v>879</v>
      </c>
      <c r="B60" s="209" t="s">
        <v>987</v>
      </c>
      <c r="C60" s="210" t="s">
        <v>988</v>
      </c>
      <c r="D60" s="210" t="s">
        <v>984</v>
      </c>
      <c r="E60" s="211" t="s">
        <v>943</v>
      </c>
    </row>
    <row r="61" spans="1:5" ht="39" x14ac:dyDescent="0.2">
      <c r="A61" s="213" t="s">
        <v>879</v>
      </c>
      <c r="B61" s="209" t="s">
        <v>989</v>
      </c>
      <c r="C61" s="210" t="s">
        <v>990</v>
      </c>
      <c r="D61" s="210" t="s">
        <v>984</v>
      </c>
      <c r="E61" s="211" t="s">
        <v>943</v>
      </c>
    </row>
    <row r="62" spans="1:5" ht="39" x14ac:dyDescent="0.2">
      <c r="A62" s="213" t="s">
        <v>879</v>
      </c>
      <c r="B62" s="209" t="s">
        <v>991</v>
      </c>
      <c r="C62" s="210" t="s">
        <v>992</v>
      </c>
      <c r="D62" s="210" t="s">
        <v>984</v>
      </c>
      <c r="E62" s="211" t="s">
        <v>943</v>
      </c>
    </row>
    <row r="63" spans="1:5" ht="26" x14ac:dyDescent="0.2">
      <c r="A63" s="213" t="s">
        <v>879</v>
      </c>
      <c r="B63" s="209" t="s">
        <v>993</v>
      </c>
      <c r="C63" s="210" t="s">
        <v>994</v>
      </c>
      <c r="D63" s="210" t="s">
        <v>984</v>
      </c>
      <c r="E63" s="211" t="s">
        <v>943</v>
      </c>
    </row>
    <row r="64" spans="1:5" ht="39" x14ac:dyDescent="0.2">
      <c r="A64" s="213" t="s">
        <v>879</v>
      </c>
      <c r="B64" s="209" t="s">
        <v>995</v>
      </c>
      <c r="C64" s="210" t="s">
        <v>996</v>
      </c>
      <c r="D64" s="210" t="s">
        <v>984</v>
      </c>
      <c r="E64" s="211" t="s">
        <v>943</v>
      </c>
    </row>
    <row r="65" spans="1:5" ht="39" x14ac:dyDescent="0.2">
      <c r="A65" s="208" t="s">
        <v>854</v>
      </c>
      <c r="B65" s="209" t="s">
        <v>997</v>
      </c>
      <c r="C65" s="210" t="s">
        <v>998</v>
      </c>
      <c r="D65" s="210" t="s">
        <v>999</v>
      </c>
      <c r="E65" s="211" t="s">
        <v>943</v>
      </c>
    </row>
    <row r="66" spans="1:5" ht="39" x14ac:dyDescent="0.2">
      <c r="A66" s="212" t="s">
        <v>867</v>
      </c>
      <c r="B66" s="209" t="s">
        <v>877</v>
      </c>
      <c r="C66" s="210" t="s">
        <v>1000</v>
      </c>
      <c r="D66" s="210" t="s">
        <v>999</v>
      </c>
      <c r="E66" s="211" t="s">
        <v>943</v>
      </c>
    </row>
    <row r="67" spans="1:5" ht="52" x14ac:dyDescent="0.2">
      <c r="A67" s="213" t="s">
        <v>879</v>
      </c>
      <c r="B67" s="209" t="s">
        <v>1001</v>
      </c>
      <c r="C67" s="210" t="s">
        <v>1002</v>
      </c>
      <c r="D67" s="210" t="s">
        <v>999</v>
      </c>
      <c r="E67" s="211" t="s">
        <v>943</v>
      </c>
    </row>
    <row r="68" spans="1:5" ht="39" x14ac:dyDescent="0.2">
      <c r="A68" s="212" t="s">
        <v>867</v>
      </c>
      <c r="B68" s="209" t="s">
        <v>1003</v>
      </c>
      <c r="C68" s="210" t="s">
        <v>1004</v>
      </c>
      <c r="D68" s="210" t="s">
        <v>999</v>
      </c>
      <c r="E68" s="211" t="s">
        <v>943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80C68-F494-4346-831E-F21108B97B7E}">
  <dimension ref="A1:D18"/>
  <sheetViews>
    <sheetView topLeftCell="D1" zoomScale="110" zoomScaleNormal="110" workbookViewId="0">
      <selection activeCell="L18" sqref="L18"/>
    </sheetView>
  </sheetViews>
  <sheetFormatPr baseColWidth="10" defaultRowHeight="15" x14ac:dyDescent="0.2"/>
  <cols>
    <col min="1" max="1" width="30" customWidth="1"/>
    <col min="2" max="2" width="125.83203125" customWidth="1"/>
    <col min="4" max="4" width="96.33203125" customWidth="1"/>
  </cols>
  <sheetData>
    <row r="1" spans="1:2" x14ac:dyDescent="0.2">
      <c r="A1" s="214" t="s">
        <v>1005</v>
      </c>
      <c r="B1" s="215"/>
    </row>
    <row r="2" spans="1:2" x14ac:dyDescent="0.2">
      <c r="A2" s="216" t="s">
        <v>1006</v>
      </c>
      <c r="B2" s="217"/>
    </row>
    <row r="3" spans="1:2" x14ac:dyDescent="0.2">
      <c r="A3" s="218" t="s">
        <v>1007</v>
      </c>
      <c r="B3" s="217"/>
    </row>
    <row r="4" spans="1:2" x14ac:dyDescent="0.2">
      <c r="A4" s="219" t="s">
        <v>1008</v>
      </c>
      <c r="B4" s="217"/>
    </row>
    <row r="5" spans="1:2" ht="16" x14ac:dyDescent="0.2">
      <c r="A5" s="220" t="s">
        <v>1009</v>
      </c>
      <c r="B5" s="217" t="s">
        <v>1010</v>
      </c>
    </row>
    <row r="6" spans="1:2" x14ac:dyDescent="0.2">
      <c r="A6" s="221"/>
      <c r="B6" s="222"/>
    </row>
    <row r="7" spans="1:2" x14ac:dyDescent="0.2">
      <c r="A7" s="216" t="s">
        <v>1011</v>
      </c>
      <c r="B7" s="217"/>
    </row>
    <row r="8" spans="1:2" x14ac:dyDescent="0.2">
      <c r="A8" s="223" t="s">
        <v>858</v>
      </c>
      <c r="B8" s="217"/>
    </row>
    <row r="9" spans="1:2" x14ac:dyDescent="0.2">
      <c r="A9" s="224" t="s">
        <v>894</v>
      </c>
      <c r="B9" s="217"/>
    </row>
    <row r="10" spans="1:2" ht="16" x14ac:dyDescent="0.2">
      <c r="A10" s="225" t="s">
        <v>943</v>
      </c>
      <c r="B10" s="217" t="s">
        <v>1012</v>
      </c>
    </row>
    <row r="11" spans="1:2" x14ac:dyDescent="0.2">
      <c r="A11" s="221"/>
      <c r="B11" s="222"/>
    </row>
    <row r="12" spans="1:2" x14ac:dyDescent="0.2">
      <c r="A12" s="214" t="s">
        <v>1013</v>
      </c>
      <c r="B12" s="215"/>
    </row>
    <row r="13" spans="1:2" x14ac:dyDescent="0.2">
      <c r="A13" s="221" t="s">
        <v>1</v>
      </c>
      <c r="B13" s="222" t="s">
        <v>1014</v>
      </c>
    </row>
    <row r="14" spans="1:2" x14ac:dyDescent="0.2">
      <c r="A14" s="221" t="s">
        <v>2</v>
      </c>
      <c r="B14" s="222" t="s">
        <v>1015</v>
      </c>
    </row>
    <row r="15" spans="1:2" x14ac:dyDescent="0.2">
      <c r="A15" s="221" t="s">
        <v>3</v>
      </c>
      <c r="B15" s="222" t="s">
        <v>1016</v>
      </c>
    </row>
    <row r="18" spans="2:4" ht="350" x14ac:dyDescent="0.2">
      <c r="B18" s="226" t="s">
        <v>1063</v>
      </c>
      <c r="D18" s="332" t="s">
        <v>1071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D4E3D-237E-754E-A859-453B3244A16D}">
  <dimension ref="A1:U161"/>
  <sheetViews>
    <sheetView topLeftCell="B38" workbookViewId="0">
      <selection activeCell="F43" sqref="F43"/>
    </sheetView>
  </sheetViews>
  <sheetFormatPr baseColWidth="10" defaultRowHeight="15" x14ac:dyDescent="0.2"/>
  <sheetData>
    <row r="1" spans="1:21" ht="16" x14ac:dyDescent="0.25">
      <c r="A1" s="94"/>
    </row>
    <row r="2" spans="1:21" x14ac:dyDescent="0.2">
      <c r="D2" s="227"/>
      <c r="E2" s="227"/>
      <c r="F2" s="227"/>
      <c r="G2" s="227"/>
      <c r="H2" s="227"/>
      <c r="I2" s="227"/>
      <c r="J2" s="227"/>
      <c r="K2" s="227"/>
      <c r="L2" s="227"/>
      <c r="M2" s="227"/>
      <c r="N2" s="227"/>
    </row>
    <row r="3" spans="1:21" x14ac:dyDescent="0.2">
      <c r="D3" s="227"/>
      <c r="E3" s="227"/>
      <c r="F3" s="227"/>
      <c r="G3" s="227"/>
      <c r="H3" s="227"/>
      <c r="I3" s="227"/>
      <c r="J3" s="227"/>
      <c r="K3" s="227"/>
      <c r="L3" s="227"/>
      <c r="M3" s="227"/>
      <c r="N3" s="227"/>
    </row>
    <row r="4" spans="1:21" x14ac:dyDescent="0.2">
      <c r="D4" s="227"/>
      <c r="E4" s="227"/>
      <c r="F4" s="227"/>
      <c r="G4" s="227"/>
      <c r="H4" s="227"/>
      <c r="I4" s="227"/>
      <c r="J4" s="227"/>
      <c r="K4" s="227"/>
      <c r="L4" s="227"/>
      <c r="M4" s="227"/>
      <c r="N4" s="227"/>
    </row>
    <row r="5" spans="1:21" x14ac:dyDescent="0.2">
      <c r="D5" s="227"/>
      <c r="E5" s="227"/>
      <c r="F5" s="227"/>
      <c r="G5" s="227"/>
      <c r="H5" s="227"/>
      <c r="I5" s="227"/>
      <c r="J5" s="227"/>
      <c r="K5" s="227"/>
      <c r="L5" s="227"/>
      <c r="M5" s="227"/>
      <c r="N5" s="227"/>
    </row>
    <row r="6" spans="1:21" x14ac:dyDescent="0.2">
      <c r="C6" s="227"/>
      <c r="D6" s="227"/>
      <c r="E6" s="227"/>
      <c r="F6" s="227"/>
      <c r="G6" s="227"/>
      <c r="H6" s="227"/>
      <c r="I6" s="227"/>
      <c r="J6" s="227"/>
      <c r="K6" s="227"/>
      <c r="L6" s="227"/>
      <c r="M6" s="227"/>
      <c r="N6" s="227"/>
    </row>
    <row r="7" spans="1:21" ht="16" thickBot="1" x14ac:dyDescent="0.25"/>
    <row r="8" spans="1:21" ht="16" x14ac:dyDescent="0.2">
      <c r="A8" s="228"/>
      <c r="C8" s="364" t="s">
        <v>1017</v>
      </c>
      <c r="D8" s="365"/>
      <c r="E8" s="365"/>
      <c r="F8" s="387"/>
      <c r="G8" s="364" t="s">
        <v>1018</v>
      </c>
      <c r="H8" s="365"/>
      <c r="I8" s="365"/>
      <c r="J8" s="387"/>
      <c r="K8" s="364" t="s">
        <v>1019</v>
      </c>
      <c r="L8" s="365"/>
      <c r="M8" s="365"/>
      <c r="N8" s="387"/>
    </row>
    <row r="9" spans="1:21" ht="16" x14ac:dyDescent="0.2">
      <c r="C9" s="229" t="s">
        <v>1020</v>
      </c>
      <c r="D9" s="230" t="s">
        <v>1021</v>
      </c>
      <c r="E9" s="230" t="s">
        <v>1022</v>
      </c>
      <c r="F9" s="231" t="s">
        <v>1023</v>
      </c>
      <c r="G9" s="232" t="s">
        <v>1020</v>
      </c>
      <c r="H9" s="233" t="s">
        <v>1021</v>
      </c>
      <c r="I9" s="233" t="s">
        <v>1022</v>
      </c>
      <c r="J9" s="234" t="s">
        <v>1023</v>
      </c>
      <c r="K9" s="229" t="s">
        <v>1020</v>
      </c>
      <c r="L9" s="230" t="s">
        <v>1021</v>
      </c>
      <c r="M9" s="230" t="s">
        <v>1022</v>
      </c>
      <c r="N9" s="231" t="s">
        <v>1023</v>
      </c>
      <c r="U9" s="235"/>
    </row>
    <row r="10" spans="1:21" ht="16" x14ac:dyDescent="0.25">
      <c r="C10" s="236" t="s">
        <v>564</v>
      </c>
      <c r="D10" s="237">
        <v>45</v>
      </c>
      <c r="E10" s="230"/>
      <c r="F10" s="238" t="s">
        <v>1024</v>
      </c>
      <c r="G10" s="239" t="s">
        <v>564</v>
      </c>
      <c r="H10" s="240">
        <v>63</v>
      </c>
      <c r="I10" s="241">
        <v>38.1</v>
      </c>
      <c r="J10" s="238" t="s">
        <v>1024</v>
      </c>
      <c r="K10" s="242" t="s">
        <v>564</v>
      </c>
      <c r="L10" s="243">
        <v>55</v>
      </c>
      <c r="M10" s="244">
        <v>0.5</v>
      </c>
      <c r="N10" s="231" t="s">
        <v>1024</v>
      </c>
    </row>
    <row r="11" spans="1:21" ht="16" x14ac:dyDescent="0.25">
      <c r="C11" s="239" t="s">
        <v>595</v>
      </c>
      <c r="D11" s="240">
        <v>10</v>
      </c>
      <c r="E11" s="230"/>
      <c r="F11" s="238" t="s">
        <v>1024</v>
      </c>
      <c r="G11" s="239" t="s">
        <v>595</v>
      </c>
      <c r="H11" s="240">
        <v>22</v>
      </c>
      <c r="I11" s="241">
        <v>13.3</v>
      </c>
      <c r="J11" s="238" t="s">
        <v>1024</v>
      </c>
      <c r="K11" s="245" t="s">
        <v>595</v>
      </c>
      <c r="L11" s="240">
        <v>8</v>
      </c>
      <c r="M11" s="230">
        <v>13.3</v>
      </c>
      <c r="N11" s="231" t="s">
        <v>1024</v>
      </c>
    </row>
    <row r="12" spans="1:21" ht="17" x14ac:dyDescent="0.25">
      <c r="C12" s="246" t="s">
        <v>1025</v>
      </c>
      <c r="D12" s="247">
        <v>6</v>
      </c>
      <c r="E12" s="230"/>
      <c r="F12" s="231"/>
      <c r="G12" s="239" t="s">
        <v>630</v>
      </c>
      <c r="H12" s="240">
        <v>12</v>
      </c>
      <c r="I12" s="241">
        <v>7.3</v>
      </c>
      <c r="J12" s="238" t="s">
        <v>1024</v>
      </c>
      <c r="K12" s="245" t="s">
        <v>655</v>
      </c>
      <c r="L12" s="248">
        <v>5</v>
      </c>
      <c r="M12" s="230">
        <v>3.8</v>
      </c>
      <c r="N12" s="231" t="s">
        <v>1026</v>
      </c>
    </row>
    <row r="13" spans="1:21" ht="17" x14ac:dyDescent="0.25">
      <c r="C13" s="239" t="s">
        <v>585</v>
      </c>
      <c r="D13" s="240">
        <v>5</v>
      </c>
      <c r="E13" s="230"/>
      <c r="F13" s="231"/>
      <c r="G13" s="239" t="s">
        <v>609</v>
      </c>
      <c r="H13" s="240">
        <v>6</v>
      </c>
      <c r="I13" s="241">
        <v>3.6</v>
      </c>
      <c r="J13" s="238" t="s">
        <v>1024</v>
      </c>
      <c r="K13" s="245" t="s">
        <v>762</v>
      </c>
      <c r="L13" s="247">
        <v>5</v>
      </c>
      <c r="M13" s="230">
        <v>3</v>
      </c>
      <c r="N13" s="231" t="s">
        <v>1027</v>
      </c>
    </row>
    <row r="14" spans="1:21" ht="16" x14ac:dyDescent="0.25">
      <c r="C14" s="239" t="s">
        <v>1028</v>
      </c>
      <c r="D14" s="240">
        <v>5</v>
      </c>
      <c r="E14" s="230"/>
      <c r="F14" s="231"/>
      <c r="G14" s="239" t="s">
        <v>585</v>
      </c>
      <c r="H14" s="240">
        <v>6</v>
      </c>
      <c r="I14" s="241">
        <v>3.6</v>
      </c>
      <c r="J14" s="238" t="s">
        <v>1027</v>
      </c>
      <c r="K14" s="245" t="s">
        <v>703</v>
      </c>
      <c r="L14" s="240">
        <v>4</v>
      </c>
      <c r="M14" s="230">
        <v>3</v>
      </c>
      <c r="N14" s="231" t="s">
        <v>1029</v>
      </c>
    </row>
    <row r="15" spans="1:21" ht="17" x14ac:dyDescent="0.25">
      <c r="A15" s="228"/>
      <c r="C15" s="246" t="s">
        <v>610</v>
      </c>
      <c r="D15" s="247">
        <v>4</v>
      </c>
      <c r="E15" s="230"/>
      <c r="F15" s="231"/>
      <c r="G15" s="239" t="s">
        <v>569</v>
      </c>
      <c r="H15" s="240">
        <v>5</v>
      </c>
      <c r="I15" s="241">
        <v>3</v>
      </c>
      <c r="J15" s="238" t="s">
        <v>1024</v>
      </c>
      <c r="K15" s="245" t="s">
        <v>609</v>
      </c>
      <c r="L15" s="243">
        <v>3</v>
      </c>
      <c r="M15" s="230">
        <v>2.2999999999999998</v>
      </c>
      <c r="N15" s="231" t="s">
        <v>1024</v>
      </c>
    </row>
    <row r="16" spans="1:21" ht="16" x14ac:dyDescent="0.25">
      <c r="C16" s="239" t="s">
        <v>1030</v>
      </c>
      <c r="D16" s="240">
        <v>4</v>
      </c>
      <c r="E16" s="230"/>
      <c r="F16" s="231"/>
      <c r="G16" s="239" t="s">
        <v>615</v>
      </c>
      <c r="H16" s="240">
        <v>5</v>
      </c>
      <c r="I16" s="241">
        <v>3</v>
      </c>
      <c r="J16" s="238" t="s">
        <v>1027</v>
      </c>
      <c r="K16" s="245" t="s">
        <v>623</v>
      </c>
      <c r="L16" s="243">
        <v>3</v>
      </c>
      <c r="M16" s="230"/>
      <c r="N16" s="231"/>
    </row>
    <row r="17" spans="1:21" ht="16" x14ac:dyDescent="0.25">
      <c r="A17" s="249"/>
      <c r="C17" s="239" t="s">
        <v>1031</v>
      </c>
      <c r="D17" s="240">
        <v>4</v>
      </c>
      <c r="E17" s="230"/>
      <c r="F17" s="231"/>
      <c r="G17" s="239" t="s">
        <v>655</v>
      </c>
      <c r="H17" s="240">
        <v>5</v>
      </c>
      <c r="I17" s="241">
        <v>3</v>
      </c>
      <c r="J17" s="238" t="s">
        <v>1032</v>
      </c>
      <c r="K17" s="245" t="s">
        <v>569</v>
      </c>
      <c r="L17" s="240">
        <v>3</v>
      </c>
      <c r="M17" s="230">
        <v>2.2999999999999998</v>
      </c>
      <c r="N17" s="231" t="s">
        <v>1024</v>
      </c>
      <c r="U17" s="235"/>
    </row>
    <row r="18" spans="1:21" ht="17" x14ac:dyDescent="0.25">
      <c r="A18" s="249"/>
      <c r="C18" s="239" t="s">
        <v>632</v>
      </c>
      <c r="D18" s="240">
        <v>3</v>
      </c>
      <c r="E18" s="230"/>
      <c r="F18" s="231"/>
      <c r="G18" s="239" t="s">
        <v>1033</v>
      </c>
      <c r="H18" s="240">
        <v>4</v>
      </c>
      <c r="I18" s="241">
        <v>2.4</v>
      </c>
      <c r="J18" s="238"/>
      <c r="K18" s="49" t="s">
        <v>780</v>
      </c>
      <c r="L18" s="250">
        <v>2</v>
      </c>
      <c r="M18" s="230">
        <v>1.5</v>
      </c>
      <c r="N18" s="231" t="s">
        <v>1026</v>
      </c>
      <c r="U18" s="235"/>
    </row>
    <row r="19" spans="1:21" ht="17" x14ac:dyDescent="0.25">
      <c r="A19" s="249"/>
      <c r="C19" s="239" t="s">
        <v>589</v>
      </c>
      <c r="D19" s="240">
        <v>2</v>
      </c>
      <c r="E19" s="230"/>
      <c r="F19" s="231"/>
      <c r="G19" s="239" t="s">
        <v>741</v>
      </c>
      <c r="H19" s="240">
        <v>4</v>
      </c>
      <c r="I19" s="241">
        <v>2.4</v>
      </c>
      <c r="J19" s="238" t="s">
        <v>1032</v>
      </c>
      <c r="K19" s="49" t="s">
        <v>743</v>
      </c>
      <c r="L19" s="250">
        <v>2</v>
      </c>
      <c r="M19" s="230">
        <v>1.5</v>
      </c>
      <c r="N19" s="231" t="s">
        <v>1027</v>
      </c>
    </row>
    <row r="20" spans="1:21" ht="16" x14ac:dyDescent="0.25">
      <c r="A20" s="249"/>
      <c r="C20" s="239" t="s">
        <v>614</v>
      </c>
      <c r="D20" s="240">
        <v>2</v>
      </c>
      <c r="E20" s="230"/>
      <c r="F20" s="231"/>
      <c r="G20" s="239" t="s">
        <v>690</v>
      </c>
      <c r="H20" s="240">
        <v>3</v>
      </c>
      <c r="I20" s="241">
        <v>1.8</v>
      </c>
      <c r="J20" s="238" t="s">
        <v>1032</v>
      </c>
      <c r="K20" s="245" t="s">
        <v>784</v>
      </c>
      <c r="L20" s="243">
        <v>2</v>
      </c>
      <c r="M20" s="230">
        <v>1.5</v>
      </c>
      <c r="N20" s="231" t="s">
        <v>1034</v>
      </c>
    </row>
    <row r="21" spans="1:21" ht="17" x14ac:dyDescent="0.25">
      <c r="A21" s="249"/>
      <c r="C21" s="239" t="s">
        <v>1024</v>
      </c>
      <c r="D21" s="240">
        <v>2</v>
      </c>
      <c r="E21" s="230"/>
      <c r="F21" s="231"/>
      <c r="G21" s="246" t="s">
        <v>1035</v>
      </c>
      <c r="H21" s="247">
        <v>3</v>
      </c>
      <c r="I21" s="241">
        <v>1.8</v>
      </c>
      <c r="J21" s="238"/>
      <c r="K21" s="245" t="s">
        <v>630</v>
      </c>
      <c r="L21" s="243">
        <v>2</v>
      </c>
      <c r="M21" s="230">
        <v>1.5</v>
      </c>
      <c r="N21" s="231" t="s">
        <v>1024</v>
      </c>
    </row>
    <row r="22" spans="1:21" ht="16" x14ac:dyDescent="0.25">
      <c r="A22" s="249"/>
      <c r="C22" s="239" t="s">
        <v>1036</v>
      </c>
      <c r="D22" s="240">
        <v>9</v>
      </c>
      <c r="E22" s="230"/>
      <c r="F22" s="231"/>
      <c r="G22" s="239" t="s">
        <v>706</v>
      </c>
      <c r="H22" s="240">
        <v>3</v>
      </c>
      <c r="I22" s="241">
        <v>1.8</v>
      </c>
      <c r="J22" s="238"/>
      <c r="K22" s="245" t="s">
        <v>585</v>
      </c>
      <c r="L22" s="250">
        <v>2</v>
      </c>
      <c r="M22" s="230">
        <v>1.5</v>
      </c>
      <c r="N22" s="231" t="s">
        <v>1037</v>
      </c>
    </row>
    <row r="23" spans="1:21" ht="16" x14ac:dyDescent="0.25">
      <c r="A23" s="249"/>
      <c r="C23" s="229"/>
      <c r="D23" s="230"/>
      <c r="E23" s="230"/>
      <c r="F23" s="231"/>
      <c r="G23" s="239" t="s">
        <v>614</v>
      </c>
      <c r="H23" s="240">
        <v>3</v>
      </c>
      <c r="I23" s="241">
        <v>1.2</v>
      </c>
      <c r="J23" s="238"/>
      <c r="K23" s="245" t="s">
        <v>766</v>
      </c>
      <c r="L23" s="240">
        <v>2</v>
      </c>
      <c r="M23" s="230">
        <v>1.5</v>
      </c>
      <c r="N23" s="231" t="s">
        <v>1038</v>
      </c>
    </row>
    <row r="24" spans="1:21" ht="16" x14ac:dyDescent="0.25">
      <c r="A24" s="249"/>
      <c r="C24" s="229"/>
      <c r="D24" s="230"/>
      <c r="E24" s="230"/>
      <c r="F24" s="231"/>
      <c r="G24" s="239" t="s">
        <v>1039</v>
      </c>
      <c r="H24" s="240">
        <v>2</v>
      </c>
      <c r="I24" s="241">
        <v>1.2</v>
      </c>
      <c r="J24" s="238"/>
      <c r="K24" s="245" t="s">
        <v>690</v>
      </c>
      <c r="L24" s="240">
        <v>2</v>
      </c>
      <c r="M24" s="230">
        <v>1.5</v>
      </c>
      <c r="N24" s="231" t="s">
        <v>1024</v>
      </c>
    </row>
    <row r="25" spans="1:21" ht="17" x14ac:dyDescent="0.25">
      <c r="A25" s="249"/>
      <c r="C25" s="229"/>
      <c r="D25" s="230"/>
      <c r="E25" s="230"/>
      <c r="F25" s="231"/>
      <c r="G25" s="239" t="s">
        <v>623</v>
      </c>
      <c r="H25" s="240">
        <v>2</v>
      </c>
      <c r="I25" s="241">
        <v>1.2</v>
      </c>
      <c r="J25" s="238"/>
      <c r="K25" s="251" t="s">
        <v>769</v>
      </c>
      <c r="L25" s="247">
        <v>2</v>
      </c>
      <c r="M25" s="230">
        <v>1.5</v>
      </c>
      <c r="N25" s="231" t="s">
        <v>1024</v>
      </c>
      <c r="U25" s="235"/>
    </row>
    <row r="26" spans="1:21" ht="17" x14ac:dyDescent="0.25">
      <c r="A26" s="249"/>
      <c r="C26" s="229"/>
      <c r="D26" s="230"/>
      <c r="E26" s="230"/>
      <c r="F26" s="231"/>
      <c r="G26" s="246" t="s">
        <v>670</v>
      </c>
      <c r="H26" s="247">
        <v>2</v>
      </c>
      <c r="I26" s="241">
        <v>1.2</v>
      </c>
      <c r="J26" s="238"/>
      <c r="K26" s="239" t="s">
        <v>1036</v>
      </c>
      <c r="L26" s="240">
        <v>20</v>
      </c>
      <c r="M26" s="230">
        <v>1.5</v>
      </c>
      <c r="N26" s="231" t="s">
        <v>1026</v>
      </c>
      <c r="U26" s="235"/>
    </row>
    <row r="27" spans="1:21" ht="16" x14ac:dyDescent="0.25">
      <c r="A27" s="249"/>
      <c r="C27" s="229"/>
      <c r="D27" s="230"/>
      <c r="E27" s="230"/>
      <c r="F27" s="231"/>
      <c r="G27" s="239" t="s">
        <v>668</v>
      </c>
      <c r="H27" s="240">
        <v>2</v>
      </c>
      <c r="I27" s="241">
        <v>1.2</v>
      </c>
      <c r="J27" s="238"/>
      <c r="M27" s="230"/>
      <c r="N27" s="231"/>
      <c r="U27" s="235"/>
    </row>
    <row r="28" spans="1:21" ht="17" x14ac:dyDescent="0.25">
      <c r="A28" s="249"/>
      <c r="C28" s="252"/>
      <c r="D28" s="230"/>
      <c r="E28" s="230"/>
      <c r="F28" s="231"/>
      <c r="G28" s="239" t="s">
        <v>707</v>
      </c>
      <c r="H28" s="240">
        <v>2</v>
      </c>
      <c r="I28" s="241">
        <v>1.2</v>
      </c>
      <c r="J28" s="238"/>
      <c r="K28" s="235" t="s">
        <v>716</v>
      </c>
      <c r="L28">
        <v>1</v>
      </c>
      <c r="M28" s="230"/>
      <c r="N28" s="231"/>
      <c r="U28" s="235"/>
    </row>
    <row r="29" spans="1:21" ht="34" x14ac:dyDescent="0.25">
      <c r="A29" s="249"/>
      <c r="C29" s="252"/>
      <c r="D29" s="230"/>
      <c r="E29" s="230"/>
      <c r="F29" s="231"/>
      <c r="G29" s="239" t="s">
        <v>666</v>
      </c>
      <c r="H29" s="240">
        <v>2</v>
      </c>
      <c r="I29" s="241">
        <v>1.2</v>
      </c>
      <c r="J29" s="238"/>
      <c r="K29" s="235" t="s">
        <v>792</v>
      </c>
      <c r="L29">
        <v>1</v>
      </c>
      <c r="M29" s="230"/>
      <c r="N29" s="231"/>
      <c r="U29" s="235"/>
    </row>
    <row r="30" spans="1:21" ht="17" x14ac:dyDescent="0.25">
      <c r="A30" s="249"/>
      <c r="C30" s="253"/>
      <c r="D30" s="230"/>
      <c r="E30" s="230"/>
      <c r="F30" s="231"/>
      <c r="G30" s="239" t="s">
        <v>1036</v>
      </c>
      <c r="H30" s="240">
        <v>10</v>
      </c>
      <c r="I30" s="241"/>
      <c r="J30" s="238"/>
      <c r="K30" s="235" t="s">
        <v>760</v>
      </c>
      <c r="L30">
        <v>1</v>
      </c>
      <c r="M30" s="230"/>
      <c r="N30" s="231"/>
      <c r="U30" s="254"/>
    </row>
    <row r="31" spans="1:21" ht="17" x14ac:dyDescent="0.25">
      <c r="A31" s="249"/>
      <c r="C31" s="229"/>
      <c r="D31" s="230"/>
      <c r="E31" s="230"/>
      <c r="F31" s="231"/>
      <c r="G31" t="s">
        <v>729</v>
      </c>
      <c r="H31">
        <v>1</v>
      </c>
      <c r="I31" s="241"/>
      <c r="J31" s="238" t="s">
        <v>1029</v>
      </c>
      <c r="K31" s="235" t="s">
        <v>617</v>
      </c>
      <c r="L31">
        <v>1</v>
      </c>
      <c r="M31" s="230"/>
      <c r="N31" s="231"/>
      <c r="U31" s="235"/>
    </row>
    <row r="32" spans="1:21" ht="17" x14ac:dyDescent="0.25">
      <c r="A32" s="249"/>
      <c r="C32" s="255"/>
      <c r="E32" s="230"/>
      <c r="F32" s="231"/>
      <c r="G32" t="s">
        <v>712</v>
      </c>
      <c r="H32">
        <v>1</v>
      </c>
      <c r="I32" s="241"/>
      <c r="J32" s="238"/>
      <c r="K32" s="235" t="s">
        <v>763</v>
      </c>
      <c r="L32">
        <v>1</v>
      </c>
      <c r="M32" s="230"/>
      <c r="N32" s="231"/>
      <c r="U32" s="235"/>
    </row>
    <row r="33" spans="1:21" ht="17" x14ac:dyDescent="0.25">
      <c r="A33" s="249"/>
      <c r="C33" s="252" t="s">
        <v>644</v>
      </c>
      <c r="D33" s="230">
        <v>1</v>
      </c>
      <c r="E33" s="230"/>
      <c r="F33" s="231"/>
      <c r="G33" t="s">
        <v>675</v>
      </c>
      <c r="H33">
        <v>1</v>
      </c>
      <c r="I33" s="241"/>
      <c r="J33" s="238"/>
      <c r="K33" s="254" t="s">
        <v>666</v>
      </c>
      <c r="L33">
        <v>1</v>
      </c>
      <c r="M33" s="230"/>
      <c r="N33" s="231"/>
      <c r="U33" s="235"/>
    </row>
    <row r="34" spans="1:21" ht="17" x14ac:dyDescent="0.25">
      <c r="A34" s="249"/>
      <c r="C34" s="229" t="s">
        <v>616</v>
      </c>
      <c r="D34" s="230">
        <v>1</v>
      </c>
      <c r="E34" s="230"/>
      <c r="F34" s="231"/>
      <c r="G34" t="s">
        <v>665</v>
      </c>
      <c r="H34">
        <v>1</v>
      </c>
      <c r="I34" s="241"/>
      <c r="J34" s="238"/>
      <c r="K34" s="235" t="s">
        <v>614</v>
      </c>
      <c r="L34">
        <v>1</v>
      </c>
      <c r="M34" s="230"/>
      <c r="N34" s="231"/>
      <c r="U34" s="235"/>
    </row>
    <row r="35" spans="1:21" ht="17" x14ac:dyDescent="0.25">
      <c r="A35" s="249"/>
      <c r="C35" s="252" t="s">
        <v>655</v>
      </c>
      <c r="D35" s="230">
        <v>1</v>
      </c>
      <c r="E35" s="230"/>
      <c r="F35" s="231"/>
      <c r="G35" t="s">
        <v>684</v>
      </c>
      <c r="H35">
        <v>1</v>
      </c>
      <c r="I35" s="241"/>
      <c r="J35" s="238"/>
      <c r="K35" s="235" t="s">
        <v>777</v>
      </c>
      <c r="L35">
        <v>1</v>
      </c>
      <c r="M35" s="230"/>
      <c r="N35" s="231"/>
      <c r="U35" s="235"/>
    </row>
    <row r="36" spans="1:21" ht="17" x14ac:dyDescent="0.25">
      <c r="A36" s="249"/>
      <c r="C36" s="229" t="s">
        <v>570</v>
      </c>
      <c r="D36" s="230">
        <v>1</v>
      </c>
      <c r="E36" s="230"/>
      <c r="F36" s="231"/>
      <c r="G36" t="s">
        <v>702</v>
      </c>
      <c r="H36">
        <v>1</v>
      </c>
      <c r="I36" s="241"/>
      <c r="J36" s="238" t="s">
        <v>1040</v>
      </c>
      <c r="K36" s="235" t="s">
        <v>610</v>
      </c>
      <c r="L36">
        <v>1</v>
      </c>
      <c r="M36" s="230"/>
      <c r="N36" s="231"/>
      <c r="U36" s="235"/>
    </row>
    <row r="37" spans="1:21" ht="17" x14ac:dyDescent="0.25">
      <c r="A37" s="249"/>
      <c r="C37" s="229" t="s">
        <v>630</v>
      </c>
      <c r="D37" s="230">
        <v>1</v>
      </c>
      <c r="E37" s="230"/>
      <c r="F37" s="231"/>
      <c r="G37" t="s">
        <v>743</v>
      </c>
      <c r="H37">
        <v>1</v>
      </c>
      <c r="I37" s="241"/>
      <c r="J37" s="238"/>
      <c r="K37" s="235" t="s">
        <v>741</v>
      </c>
      <c r="L37">
        <v>1</v>
      </c>
      <c r="M37" s="230"/>
      <c r="N37" s="231"/>
      <c r="U37" s="235"/>
    </row>
    <row r="38" spans="1:21" ht="17" x14ac:dyDescent="0.25">
      <c r="A38" s="249"/>
      <c r="C38" s="229" t="s">
        <v>1041</v>
      </c>
      <c r="D38" s="230">
        <v>1</v>
      </c>
      <c r="E38" s="230"/>
      <c r="F38" s="231"/>
      <c r="G38" t="s">
        <v>703</v>
      </c>
      <c r="H38">
        <v>1</v>
      </c>
      <c r="I38" s="241"/>
      <c r="J38" s="238"/>
      <c r="K38" s="235" t="s">
        <v>808</v>
      </c>
      <c r="L38">
        <v>1</v>
      </c>
      <c r="M38" s="230"/>
      <c r="N38" s="231"/>
      <c r="U38" s="235"/>
    </row>
    <row r="39" spans="1:21" ht="17" x14ac:dyDescent="0.2">
      <c r="A39" s="249"/>
      <c r="C39" s="252" t="s">
        <v>617</v>
      </c>
      <c r="D39" s="230">
        <v>1</v>
      </c>
      <c r="E39" s="230"/>
      <c r="F39" s="231"/>
      <c r="G39" t="s">
        <v>570</v>
      </c>
      <c r="H39">
        <v>1</v>
      </c>
      <c r="I39" s="230"/>
      <c r="J39" s="231"/>
      <c r="K39" s="235" t="s">
        <v>781</v>
      </c>
      <c r="L39">
        <v>1</v>
      </c>
      <c r="M39" s="230"/>
      <c r="N39" s="231"/>
      <c r="U39" s="235"/>
    </row>
    <row r="40" spans="1:21" ht="17" x14ac:dyDescent="0.2">
      <c r="A40" s="249"/>
      <c r="C40" s="252" t="s">
        <v>615</v>
      </c>
      <c r="D40" s="230">
        <v>1</v>
      </c>
      <c r="E40" s="230"/>
      <c r="F40" s="231"/>
      <c r="G40" t="s">
        <v>1042</v>
      </c>
      <c r="H40">
        <v>1</v>
      </c>
      <c r="I40" s="230"/>
      <c r="J40" s="231"/>
      <c r="K40" s="235" t="s">
        <v>682</v>
      </c>
      <c r="L40">
        <v>1</v>
      </c>
      <c r="M40" s="230"/>
      <c r="N40" s="231"/>
      <c r="U40" s="235"/>
    </row>
    <row r="41" spans="1:21" ht="51" x14ac:dyDescent="0.25">
      <c r="A41" s="249"/>
      <c r="C41" s="253" t="s">
        <v>621</v>
      </c>
      <c r="D41" s="256">
        <v>1</v>
      </c>
      <c r="E41" s="230"/>
      <c r="F41" s="231"/>
      <c r="G41" s="257"/>
      <c r="H41" s="258"/>
      <c r="I41" s="230"/>
      <c r="J41" s="231"/>
      <c r="K41" s="235" t="s">
        <v>778</v>
      </c>
      <c r="L41">
        <v>1</v>
      </c>
      <c r="M41" s="230"/>
      <c r="N41" s="231"/>
      <c r="U41" s="235"/>
    </row>
    <row r="42" spans="1:21" ht="17" x14ac:dyDescent="0.25">
      <c r="A42" s="249"/>
      <c r="C42" s="259"/>
      <c r="D42" s="256"/>
      <c r="E42" s="230"/>
      <c r="F42" s="238"/>
      <c r="G42" s="257"/>
      <c r="H42" s="241"/>
      <c r="I42" s="230"/>
      <c r="J42" s="231"/>
      <c r="K42" s="235" t="s">
        <v>771</v>
      </c>
      <c r="L42">
        <v>1</v>
      </c>
      <c r="M42" s="230"/>
      <c r="N42" s="231"/>
      <c r="U42" s="235"/>
    </row>
    <row r="43" spans="1:21" ht="17" x14ac:dyDescent="0.25">
      <c r="A43" s="249"/>
      <c r="C43" s="259"/>
      <c r="D43" s="256"/>
      <c r="E43" s="230"/>
      <c r="F43" s="238"/>
      <c r="G43" s="257"/>
      <c r="H43" s="258"/>
      <c r="I43" s="230"/>
      <c r="J43" s="231"/>
      <c r="K43" s="235" t="s">
        <v>798</v>
      </c>
      <c r="L43">
        <v>1</v>
      </c>
      <c r="M43" s="230"/>
      <c r="N43" s="231"/>
      <c r="U43" s="235"/>
    </row>
    <row r="44" spans="1:21" ht="17" x14ac:dyDescent="0.25">
      <c r="A44" s="249"/>
      <c r="C44" s="229"/>
      <c r="E44" s="230"/>
      <c r="F44" s="231"/>
      <c r="G44" s="257"/>
      <c r="H44" s="258"/>
      <c r="I44" s="230"/>
      <c r="J44" s="231"/>
      <c r="K44" s="235" t="s">
        <v>616</v>
      </c>
      <c r="L44">
        <v>1</v>
      </c>
      <c r="M44" s="230"/>
      <c r="N44" s="231"/>
      <c r="U44" s="235"/>
    </row>
    <row r="45" spans="1:21" ht="17" x14ac:dyDescent="0.2">
      <c r="A45" s="249"/>
      <c r="C45" s="229"/>
      <c r="D45" s="230"/>
      <c r="E45" s="230"/>
      <c r="F45" s="231"/>
      <c r="G45" s="229"/>
      <c r="H45" s="230"/>
      <c r="I45" s="230"/>
      <c r="J45" s="231"/>
      <c r="K45" s="235" t="s">
        <v>774</v>
      </c>
      <c r="L45">
        <v>1</v>
      </c>
      <c r="M45" s="230"/>
      <c r="N45" s="231"/>
    </row>
    <row r="46" spans="1:21" ht="34" x14ac:dyDescent="0.2">
      <c r="A46" s="249"/>
      <c r="C46" s="229"/>
      <c r="D46" s="230"/>
      <c r="E46" s="230"/>
      <c r="F46" s="231"/>
      <c r="G46" s="229"/>
      <c r="H46" s="230"/>
      <c r="I46" s="230"/>
      <c r="J46" s="231"/>
      <c r="K46" s="235" t="s">
        <v>775</v>
      </c>
      <c r="L46">
        <v>1</v>
      </c>
      <c r="M46" s="230"/>
      <c r="N46" s="231"/>
    </row>
    <row r="47" spans="1:21" ht="18" thickBot="1" x14ac:dyDescent="0.25">
      <c r="A47" s="249"/>
      <c r="C47" s="260"/>
      <c r="D47" s="261"/>
      <c r="E47" s="261"/>
      <c r="F47" s="262"/>
      <c r="G47" s="260"/>
      <c r="H47" s="261"/>
      <c r="I47" s="261"/>
      <c r="J47" s="262"/>
      <c r="K47" s="263" t="s">
        <v>684</v>
      </c>
      <c r="L47" s="264">
        <v>1</v>
      </c>
      <c r="M47" s="261"/>
      <c r="N47" s="262"/>
    </row>
    <row r="48" spans="1:21" ht="17" thickBot="1" x14ac:dyDescent="0.25">
      <c r="A48" s="249"/>
      <c r="L48" s="228"/>
    </row>
    <row r="49" spans="1:20" ht="16" x14ac:dyDescent="0.2">
      <c r="A49" s="249"/>
      <c r="C49" s="265"/>
      <c r="D49" s="388" t="s">
        <v>1017</v>
      </c>
      <c r="E49" s="388"/>
      <c r="F49" s="388" t="s">
        <v>1018</v>
      </c>
      <c r="G49" s="388"/>
      <c r="H49" s="388" t="s">
        <v>1019</v>
      </c>
      <c r="I49" s="389"/>
    </row>
    <row r="50" spans="1:20" ht="16" x14ac:dyDescent="0.2">
      <c r="A50" s="249"/>
      <c r="C50" s="229"/>
      <c r="D50" s="266" t="s">
        <v>1043</v>
      </c>
      <c r="E50" s="266" t="s">
        <v>738</v>
      </c>
      <c r="F50" s="266" t="s">
        <v>1043</v>
      </c>
      <c r="G50" s="266" t="s">
        <v>738</v>
      </c>
      <c r="H50" s="266" t="s">
        <v>1043</v>
      </c>
      <c r="I50" s="267" t="s">
        <v>738</v>
      </c>
    </row>
    <row r="51" spans="1:20" ht="16" x14ac:dyDescent="0.2">
      <c r="A51" s="249"/>
      <c r="C51" s="268" t="s">
        <v>562</v>
      </c>
      <c r="D51" s="240">
        <v>30</v>
      </c>
      <c r="E51" s="240">
        <v>2</v>
      </c>
      <c r="F51" s="240">
        <v>49</v>
      </c>
      <c r="G51" s="240">
        <v>1</v>
      </c>
      <c r="H51" s="230">
        <v>23</v>
      </c>
      <c r="I51" s="231">
        <v>0</v>
      </c>
    </row>
    <row r="52" spans="1:20" ht="16" x14ac:dyDescent="0.2">
      <c r="A52" s="249"/>
      <c r="C52" s="268" t="s">
        <v>591</v>
      </c>
      <c r="D52" s="240">
        <v>28</v>
      </c>
      <c r="E52" s="240">
        <v>2</v>
      </c>
      <c r="F52" s="230">
        <v>34</v>
      </c>
      <c r="G52" s="230">
        <v>1</v>
      </c>
      <c r="H52" s="230">
        <v>26</v>
      </c>
      <c r="I52" s="231">
        <v>0</v>
      </c>
    </row>
    <row r="53" spans="1:20" ht="16" x14ac:dyDescent="0.2">
      <c r="A53" s="249"/>
      <c r="C53" s="268" t="s">
        <v>580</v>
      </c>
      <c r="D53" s="240">
        <v>32</v>
      </c>
      <c r="E53" s="240">
        <v>0</v>
      </c>
      <c r="F53" s="240">
        <v>50</v>
      </c>
      <c r="G53" s="240">
        <v>0</v>
      </c>
      <c r="H53" s="240">
        <v>52</v>
      </c>
      <c r="I53" s="269">
        <v>2</v>
      </c>
    </row>
    <row r="54" spans="1:20" ht="16" x14ac:dyDescent="0.2">
      <c r="A54" s="249"/>
      <c r="C54" s="270" t="s">
        <v>581</v>
      </c>
      <c r="D54" s="233">
        <v>5</v>
      </c>
      <c r="E54" s="233">
        <v>2</v>
      </c>
      <c r="F54" s="233">
        <v>30</v>
      </c>
      <c r="G54" s="233">
        <v>1</v>
      </c>
      <c r="H54" s="233">
        <v>19</v>
      </c>
      <c r="I54" s="234">
        <v>0</v>
      </c>
      <c r="S54" s="249"/>
      <c r="T54" s="249"/>
    </row>
    <row r="55" spans="1:20" ht="16" x14ac:dyDescent="0.2">
      <c r="A55" s="249"/>
      <c r="C55" s="379" t="s">
        <v>1044</v>
      </c>
      <c r="D55" s="271">
        <v>95</v>
      </c>
      <c r="E55" s="271">
        <v>6</v>
      </c>
      <c r="F55" s="271">
        <v>163</v>
      </c>
      <c r="G55" s="271">
        <v>3</v>
      </c>
      <c r="H55" s="271">
        <v>120</v>
      </c>
      <c r="I55" s="272">
        <v>2</v>
      </c>
      <c r="S55" s="249"/>
      <c r="T55" s="249"/>
    </row>
    <row r="56" spans="1:20" ht="17" thickBot="1" x14ac:dyDescent="0.25">
      <c r="A56" s="249"/>
      <c r="C56" s="380"/>
      <c r="D56" s="381">
        <v>101</v>
      </c>
      <c r="E56" s="382"/>
      <c r="F56" s="381">
        <v>166</v>
      </c>
      <c r="G56" s="382"/>
      <c r="H56" s="383">
        <v>122</v>
      </c>
      <c r="I56" s="384"/>
      <c r="S56" s="249"/>
      <c r="T56" s="249"/>
    </row>
    <row r="57" spans="1:20" ht="16" x14ac:dyDescent="0.2">
      <c r="A57" s="249"/>
      <c r="S57" s="249"/>
      <c r="T57" s="249"/>
    </row>
    <row r="58" spans="1:20" ht="16" x14ac:dyDescent="0.2">
      <c r="A58" s="249"/>
      <c r="S58" s="249"/>
      <c r="T58" s="249"/>
    </row>
    <row r="59" spans="1:20" ht="16" x14ac:dyDescent="0.2">
      <c r="A59" s="249"/>
      <c r="O59" s="249"/>
      <c r="P59" s="249"/>
      <c r="R59" s="249"/>
      <c r="S59" s="249"/>
      <c r="T59" s="249"/>
    </row>
    <row r="60" spans="1:20" ht="16" x14ac:dyDescent="0.2">
      <c r="A60" s="249"/>
      <c r="O60" s="249"/>
      <c r="P60" s="249"/>
      <c r="S60" s="249"/>
      <c r="T60" s="249"/>
    </row>
    <row r="61" spans="1:20" ht="16" x14ac:dyDescent="0.2">
      <c r="A61" s="249"/>
      <c r="L61" s="227" t="s">
        <v>1045</v>
      </c>
      <c r="O61" s="249"/>
      <c r="P61" s="249"/>
      <c r="R61" s="249"/>
      <c r="S61" s="249"/>
      <c r="T61" s="249"/>
    </row>
    <row r="62" spans="1:20" ht="16" x14ac:dyDescent="0.2">
      <c r="A62" s="249"/>
      <c r="L62" s="227" t="s">
        <v>1046</v>
      </c>
      <c r="O62" s="249"/>
      <c r="P62" s="249"/>
      <c r="R62" s="249"/>
      <c r="S62" s="249"/>
      <c r="T62" s="249"/>
    </row>
    <row r="63" spans="1:20" ht="16" x14ac:dyDescent="0.2">
      <c r="A63" s="249"/>
      <c r="L63" s="227" t="s">
        <v>1047</v>
      </c>
      <c r="O63" s="249"/>
      <c r="P63" s="249"/>
      <c r="R63" s="249"/>
      <c r="S63" s="249"/>
      <c r="T63" s="249"/>
    </row>
    <row r="64" spans="1:20" ht="16" x14ac:dyDescent="0.2">
      <c r="A64" s="249"/>
      <c r="L64" s="227" t="s">
        <v>1048</v>
      </c>
      <c r="O64" s="249"/>
      <c r="P64" s="249"/>
      <c r="R64" s="249"/>
      <c r="S64" s="249"/>
      <c r="T64" s="249"/>
    </row>
    <row r="65" spans="1:20" ht="16" x14ac:dyDescent="0.2">
      <c r="A65" s="249"/>
      <c r="O65" s="249"/>
      <c r="P65" s="249"/>
      <c r="R65" s="249"/>
      <c r="S65" s="249"/>
      <c r="T65" s="249"/>
    </row>
    <row r="66" spans="1:20" ht="16" x14ac:dyDescent="0.2">
      <c r="A66" s="249"/>
      <c r="O66" s="249"/>
      <c r="P66" s="249"/>
      <c r="R66" s="249"/>
      <c r="S66" s="249"/>
      <c r="T66" s="249"/>
    </row>
    <row r="67" spans="1:20" ht="16" x14ac:dyDescent="0.2">
      <c r="A67" s="249"/>
      <c r="O67" s="249"/>
      <c r="P67" s="249"/>
      <c r="T67" s="249"/>
    </row>
    <row r="68" spans="1:20" ht="16" x14ac:dyDescent="0.2">
      <c r="A68" s="273"/>
      <c r="O68" s="249"/>
      <c r="P68" s="249"/>
      <c r="T68" s="249"/>
    </row>
    <row r="69" spans="1:20" ht="16" x14ac:dyDescent="0.2">
      <c r="A69" s="249"/>
      <c r="O69" s="249"/>
      <c r="P69" s="249"/>
      <c r="T69" s="249"/>
    </row>
    <row r="70" spans="1:20" ht="16" x14ac:dyDescent="0.2">
      <c r="A70" s="249"/>
      <c r="O70" s="249"/>
      <c r="P70" s="249"/>
      <c r="S70" s="249"/>
      <c r="T70" s="249"/>
    </row>
    <row r="71" spans="1:20" ht="16" x14ac:dyDescent="0.2">
      <c r="A71" s="249"/>
      <c r="O71" s="249"/>
      <c r="P71" s="249"/>
      <c r="R71" s="249"/>
      <c r="S71" s="249"/>
      <c r="T71" s="249"/>
    </row>
    <row r="72" spans="1:20" ht="16" x14ac:dyDescent="0.2">
      <c r="A72" s="249"/>
      <c r="O72" s="249"/>
      <c r="P72" s="249"/>
      <c r="R72" s="249"/>
      <c r="S72" s="249"/>
      <c r="T72" s="249"/>
    </row>
    <row r="73" spans="1:20" ht="16" x14ac:dyDescent="0.2">
      <c r="A73" s="249"/>
      <c r="O73" s="249"/>
      <c r="P73" s="249"/>
    </row>
    <row r="74" spans="1:20" ht="16" x14ac:dyDescent="0.2">
      <c r="A74" s="249"/>
      <c r="B74" s="385"/>
      <c r="C74" s="385"/>
      <c r="D74" s="194"/>
      <c r="E74" s="194"/>
      <c r="F74" s="194"/>
      <c r="G74" s="194"/>
      <c r="O74" s="249"/>
      <c r="P74" s="249"/>
      <c r="R74" s="249"/>
      <c r="S74" s="249"/>
      <c r="T74" s="249"/>
    </row>
    <row r="75" spans="1:20" ht="16" x14ac:dyDescent="0.2">
      <c r="A75" s="249"/>
      <c r="B75" s="386"/>
      <c r="C75" s="109"/>
      <c r="O75" s="249"/>
      <c r="P75" s="249"/>
      <c r="R75" s="249"/>
      <c r="S75" s="249"/>
      <c r="T75" s="249"/>
    </row>
    <row r="76" spans="1:20" ht="16" x14ac:dyDescent="0.2">
      <c r="A76" s="249"/>
      <c r="B76" s="386"/>
      <c r="C76" s="109"/>
      <c r="O76" s="249"/>
      <c r="P76" s="249"/>
      <c r="R76" s="249"/>
      <c r="S76" s="249"/>
      <c r="T76" s="249"/>
    </row>
    <row r="77" spans="1:20" ht="16" x14ac:dyDescent="0.2">
      <c r="B77" s="386"/>
      <c r="C77" s="109"/>
      <c r="O77" s="249"/>
      <c r="P77" s="249"/>
      <c r="R77" s="249"/>
      <c r="S77" s="249"/>
      <c r="T77" s="249"/>
    </row>
    <row r="78" spans="1:20" ht="16" x14ac:dyDescent="0.2">
      <c r="B78" s="386"/>
      <c r="C78" s="109"/>
      <c r="O78" s="249"/>
      <c r="P78" s="249"/>
      <c r="R78" s="249"/>
      <c r="S78" s="249"/>
      <c r="T78" s="249"/>
    </row>
    <row r="79" spans="1:20" ht="16" x14ac:dyDescent="0.2">
      <c r="B79" s="386"/>
      <c r="C79" s="109"/>
      <c r="O79" s="249"/>
      <c r="P79" s="249"/>
      <c r="R79" s="249"/>
      <c r="S79" s="249"/>
      <c r="T79" s="249"/>
    </row>
    <row r="80" spans="1:20" ht="16" x14ac:dyDescent="0.2">
      <c r="B80" s="386"/>
      <c r="C80" s="109"/>
      <c r="O80" s="249"/>
      <c r="P80" s="249"/>
      <c r="R80" s="249"/>
      <c r="S80" s="249"/>
      <c r="T80" s="249"/>
    </row>
    <row r="81" spans="1:20" ht="16" x14ac:dyDescent="0.2">
      <c r="O81" s="249"/>
      <c r="P81" s="249"/>
      <c r="R81" s="249"/>
      <c r="S81" s="249"/>
      <c r="T81" s="249"/>
    </row>
    <row r="82" spans="1:20" ht="16" x14ac:dyDescent="0.2">
      <c r="O82" s="249"/>
      <c r="P82" s="249"/>
      <c r="R82" s="249"/>
      <c r="S82" s="249"/>
      <c r="T82" s="249"/>
    </row>
    <row r="83" spans="1:20" ht="16" x14ac:dyDescent="0.2">
      <c r="O83" s="249"/>
      <c r="P83" s="249"/>
      <c r="R83" s="249"/>
      <c r="S83" s="249"/>
      <c r="T83" s="249"/>
    </row>
    <row r="84" spans="1:20" ht="16" x14ac:dyDescent="0.2">
      <c r="A84" s="249"/>
      <c r="B84" s="350"/>
      <c r="O84" s="249"/>
      <c r="P84" s="249"/>
      <c r="S84" s="249"/>
      <c r="T84" s="249"/>
    </row>
    <row r="85" spans="1:20" ht="16" x14ac:dyDescent="0.2">
      <c r="A85" s="249"/>
      <c r="B85" s="350"/>
      <c r="C85" s="378"/>
      <c r="D85" s="378"/>
      <c r="E85" s="378"/>
      <c r="F85" s="378"/>
      <c r="G85" s="378"/>
      <c r="H85" s="378"/>
      <c r="O85" s="249"/>
      <c r="P85" s="249"/>
      <c r="R85" s="273"/>
      <c r="S85" s="273"/>
      <c r="T85" s="273"/>
    </row>
    <row r="86" spans="1:20" ht="16" x14ac:dyDescent="0.2">
      <c r="A86" s="249"/>
      <c r="O86" s="249"/>
      <c r="P86" s="249"/>
      <c r="R86" s="249"/>
      <c r="S86" s="249"/>
      <c r="T86" s="249"/>
    </row>
    <row r="87" spans="1:20" ht="16" x14ac:dyDescent="0.2">
      <c r="A87" s="249"/>
      <c r="O87" s="249"/>
      <c r="P87" s="249"/>
      <c r="S87" s="249"/>
      <c r="T87" s="249"/>
    </row>
    <row r="88" spans="1:20" ht="16" x14ac:dyDescent="0.2">
      <c r="A88" s="273"/>
      <c r="O88" s="249"/>
      <c r="P88" s="249"/>
      <c r="S88" s="249"/>
      <c r="T88" s="249"/>
    </row>
    <row r="89" spans="1:20" ht="16" x14ac:dyDescent="0.2">
      <c r="A89" s="273"/>
      <c r="O89" s="249"/>
      <c r="P89" s="249"/>
      <c r="R89" s="249"/>
      <c r="S89" s="249"/>
      <c r="T89" s="249"/>
    </row>
    <row r="90" spans="1:20" ht="16" x14ac:dyDescent="0.2">
      <c r="A90" s="249"/>
      <c r="O90" s="249"/>
      <c r="P90" s="249"/>
      <c r="R90" s="249"/>
      <c r="S90" s="249"/>
      <c r="T90" s="249"/>
    </row>
    <row r="91" spans="1:20" ht="16" x14ac:dyDescent="0.2">
      <c r="A91" s="249"/>
      <c r="O91" s="249"/>
      <c r="P91" s="249"/>
      <c r="R91" s="249"/>
      <c r="S91" s="249"/>
      <c r="T91" s="249"/>
    </row>
    <row r="92" spans="1:20" ht="16" x14ac:dyDescent="0.2">
      <c r="A92" s="249"/>
      <c r="O92" s="249"/>
      <c r="P92" s="249"/>
      <c r="R92" s="249"/>
      <c r="S92" s="249"/>
      <c r="T92" s="249"/>
    </row>
    <row r="93" spans="1:20" ht="16" x14ac:dyDescent="0.2">
      <c r="A93" s="249"/>
      <c r="O93" s="249"/>
      <c r="P93" s="249"/>
      <c r="R93" s="249"/>
      <c r="S93" s="249"/>
      <c r="T93" s="249"/>
    </row>
    <row r="94" spans="1:20" ht="16" x14ac:dyDescent="0.2">
      <c r="A94" s="249"/>
      <c r="O94" s="249"/>
      <c r="P94" s="249"/>
      <c r="R94" s="249"/>
      <c r="S94" s="249"/>
      <c r="T94" s="249"/>
    </row>
    <row r="95" spans="1:20" ht="16" x14ac:dyDescent="0.2">
      <c r="O95" s="249"/>
      <c r="P95" s="249"/>
      <c r="R95" s="249"/>
      <c r="S95" s="249"/>
      <c r="T95" s="249"/>
    </row>
    <row r="96" spans="1:20" ht="16" x14ac:dyDescent="0.2">
      <c r="O96" s="249"/>
      <c r="P96" s="249"/>
      <c r="S96" s="249"/>
      <c r="T96" s="249"/>
    </row>
    <row r="97" spans="15:20" ht="16" x14ac:dyDescent="0.2">
      <c r="O97" s="249"/>
      <c r="P97" s="249"/>
      <c r="S97" s="249"/>
      <c r="T97" s="249"/>
    </row>
    <row r="98" spans="15:20" ht="16" x14ac:dyDescent="0.2">
      <c r="O98" s="249"/>
      <c r="P98" s="249"/>
      <c r="R98" s="249"/>
      <c r="S98" s="249"/>
      <c r="T98" s="249"/>
    </row>
    <row r="99" spans="15:20" ht="16" x14ac:dyDescent="0.2">
      <c r="O99" s="249"/>
      <c r="P99" s="249"/>
      <c r="R99" s="249"/>
      <c r="S99" s="249"/>
      <c r="T99" s="249"/>
    </row>
    <row r="100" spans="15:20" ht="16" x14ac:dyDescent="0.2">
      <c r="O100" s="249"/>
      <c r="P100" s="249"/>
      <c r="R100" s="249"/>
      <c r="S100" s="249"/>
      <c r="T100" s="249"/>
    </row>
    <row r="101" spans="15:20" ht="16" x14ac:dyDescent="0.2">
      <c r="O101" s="249"/>
      <c r="P101" s="249"/>
      <c r="R101" s="249"/>
      <c r="S101" s="249"/>
      <c r="T101" s="249"/>
    </row>
    <row r="102" spans="15:20" ht="16" x14ac:dyDescent="0.2">
      <c r="O102" s="249"/>
      <c r="P102" s="249"/>
      <c r="S102" s="249"/>
      <c r="T102" s="249"/>
    </row>
    <row r="103" spans="15:20" ht="16" x14ac:dyDescent="0.2">
      <c r="O103" s="249"/>
      <c r="P103" s="249"/>
      <c r="S103" s="249"/>
      <c r="T103" s="249"/>
    </row>
    <row r="104" spans="15:20" ht="16" x14ac:dyDescent="0.2">
      <c r="O104" s="249"/>
      <c r="P104" s="249"/>
      <c r="R104" s="249"/>
      <c r="S104" s="249"/>
      <c r="T104" s="249"/>
    </row>
    <row r="105" spans="15:20" ht="16" x14ac:dyDescent="0.2">
      <c r="O105" s="249"/>
      <c r="P105" s="249"/>
      <c r="R105" s="249"/>
      <c r="S105" s="249"/>
      <c r="T105" s="249"/>
    </row>
    <row r="106" spans="15:20" ht="16" x14ac:dyDescent="0.2">
      <c r="O106" s="249"/>
      <c r="P106" s="249"/>
      <c r="T106" s="249"/>
    </row>
    <row r="107" spans="15:20" ht="16" x14ac:dyDescent="0.2">
      <c r="O107" s="249"/>
      <c r="P107" s="249"/>
      <c r="R107" s="249"/>
      <c r="S107" s="249"/>
      <c r="T107" s="249"/>
    </row>
    <row r="108" spans="15:20" ht="16" x14ac:dyDescent="0.2">
      <c r="O108" s="249"/>
      <c r="P108" s="249"/>
      <c r="R108" s="249"/>
      <c r="S108" s="249"/>
      <c r="T108" s="249"/>
    </row>
    <row r="109" spans="15:20" ht="16" x14ac:dyDescent="0.2">
      <c r="O109" s="249"/>
      <c r="P109" s="249"/>
      <c r="R109" s="249"/>
    </row>
    <row r="110" spans="15:20" ht="16" x14ac:dyDescent="0.2">
      <c r="O110" s="249"/>
      <c r="P110" s="249"/>
      <c r="R110" s="249"/>
    </row>
    <row r="111" spans="15:20" ht="16" x14ac:dyDescent="0.2">
      <c r="O111" s="249"/>
      <c r="P111" s="249"/>
      <c r="R111" s="249"/>
    </row>
    <row r="112" spans="15:20" ht="16" x14ac:dyDescent="0.2">
      <c r="O112" s="249"/>
      <c r="P112" s="249"/>
      <c r="R112" s="249"/>
    </row>
    <row r="113" spans="15:18" ht="16" x14ac:dyDescent="0.2">
      <c r="O113" s="249"/>
      <c r="P113" s="249"/>
      <c r="R113" s="249"/>
    </row>
    <row r="114" spans="15:18" ht="16" x14ac:dyDescent="0.2">
      <c r="O114" s="249"/>
      <c r="P114" s="249"/>
      <c r="R114" s="249"/>
    </row>
    <row r="115" spans="15:18" ht="16" x14ac:dyDescent="0.2">
      <c r="O115" s="249"/>
      <c r="P115" s="249"/>
      <c r="R115" s="249"/>
    </row>
    <row r="116" spans="15:18" ht="16" x14ac:dyDescent="0.2">
      <c r="O116" s="249"/>
      <c r="P116" s="249"/>
      <c r="R116" s="249"/>
    </row>
    <row r="117" spans="15:18" ht="16" x14ac:dyDescent="0.2">
      <c r="O117" s="249"/>
      <c r="P117" s="249"/>
      <c r="R117" s="249"/>
    </row>
    <row r="118" spans="15:18" ht="16" x14ac:dyDescent="0.2">
      <c r="O118" s="249"/>
      <c r="P118" s="249"/>
      <c r="R118" s="249"/>
    </row>
    <row r="119" spans="15:18" ht="16" x14ac:dyDescent="0.2">
      <c r="O119" s="249"/>
      <c r="P119" s="249"/>
      <c r="R119" s="249"/>
    </row>
    <row r="120" spans="15:18" ht="16" x14ac:dyDescent="0.2">
      <c r="O120" s="249"/>
      <c r="P120" s="249"/>
      <c r="R120" s="249"/>
    </row>
    <row r="121" spans="15:18" ht="16" x14ac:dyDescent="0.2">
      <c r="O121" s="249"/>
      <c r="P121" s="249"/>
      <c r="R121" s="249"/>
    </row>
    <row r="122" spans="15:18" ht="16" x14ac:dyDescent="0.2">
      <c r="O122" s="249"/>
      <c r="P122" s="249"/>
      <c r="R122" s="249"/>
    </row>
    <row r="123" spans="15:18" ht="16" x14ac:dyDescent="0.2">
      <c r="O123" s="249"/>
      <c r="P123" s="249"/>
      <c r="R123" s="249"/>
    </row>
    <row r="124" spans="15:18" ht="16" x14ac:dyDescent="0.2">
      <c r="O124" s="249"/>
      <c r="P124" s="249"/>
      <c r="R124" s="249"/>
    </row>
    <row r="125" spans="15:18" ht="16" x14ac:dyDescent="0.2">
      <c r="O125" s="249"/>
      <c r="P125" s="249"/>
      <c r="R125" s="249"/>
    </row>
    <row r="126" spans="15:18" ht="16" x14ac:dyDescent="0.2">
      <c r="O126" s="249"/>
      <c r="P126" s="249"/>
      <c r="R126" s="249"/>
    </row>
    <row r="127" spans="15:18" ht="16" x14ac:dyDescent="0.2">
      <c r="O127" s="249"/>
      <c r="P127" s="249"/>
      <c r="R127" s="249"/>
    </row>
    <row r="128" spans="15:18" ht="16" x14ac:dyDescent="0.2">
      <c r="O128" s="249"/>
      <c r="P128" s="249"/>
      <c r="R128" s="249"/>
    </row>
    <row r="129" spans="15:18" ht="16" x14ac:dyDescent="0.2">
      <c r="O129" s="249"/>
      <c r="P129" s="249"/>
      <c r="R129" s="249"/>
    </row>
    <row r="130" spans="15:18" ht="16" x14ac:dyDescent="0.2">
      <c r="O130" s="249"/>
      <c r="P130" s="249"/>
      <c r="R130" s="249"/>
    </row>
    <row r="131" spans="15:18" ht="16" x14ac:dyDescent="0.2">
      <c r="O131" s="249"/>
      <c r="P131" s="249"/>
      <c r="R131" s="249"/>
    </row>
    <row r="132" spans="15:18" ht="16" x14ac:dyDescent="0.2">
      <c r="O132" s="249"/>
      <c r="P132" s="249"/>
      <c r="R132" s="249"/>
    </row>
    <row r="133" spans="15:18" ht="16" x14ac:dyDescent="0.2">
      <c r="O133" s="249"/>
      <c r="P133" s="249"/>
      <c r="R133" s="249"/>
    </row>
    <row r="134" spans="15:18" ht="16" x14ac:dyDescent="0.2">
      <c r="O134" s="249"/>
      <c r="P134" s="249"/>
      <c r="R134" s="249"/>
    </row>
    <row r="135" spans="15:18" ht="16" x14ac:dyDescent="0.2">
      <c r="O135" s="249"/>
      <c r="P135" s="249"/>
      <c r="R135" s="249"/>
    </row>
    <row r="136" spans="15:18" ht="16" x14ac:dyDescent="0.2">
      <c r="O136" s="249"/>
      <c r="P136" s="249"/>
      <c r="R136" s="249"/>
    </row>
    <row r="137" spans="15:18" ht="16" x14ac:dyDescent="0.2">
      <c r="O137" s="249"/>
      <c r="P137" s="249"/>
      <c r="R137" s="249"/>
    </row>
    <row r="138" spans="15:18" ht="16" x14ac:dyDescent="0.2">
      <c r="O138" s="249"/>
      <c r="P138" s="249"/>
      <c r="R138" s="249"/>
    </row>
    <row r="139" spans="15:18" ht="16" x14ac:dyDescent="0.2">
      <c r="O139" s="249"/>
      <c r="P139" s="249"/>
      <c r="Q139" s="249"/>
      <c r="R139" s="249"/>
    </row>
    <row r="140" spans="15:18" ht="16" x14ac:dyDescent="0.2">
      <c r="O140" s="249"/>
      <c r="P140" s="249"/>
      <c r="Q140" s="249"/>
      <c r="R140" s="249"/>
    </row>
    <row r="141" spans="15:18" ht="16" x14ac:dyDescent="0.2">
      <c r="O141" s="249"/>
      <c r="P141" s="249"/>
      <c r="Q141" s="249"/>
      <c r="R141" s="249"/>
    </row>
    <row r="142" spans="15:18" ht="16" x14ac:dyDescent="0.2">
      <c r="O142" s="249"/>
      <c r="P142" s="249"/>
      <c r="Q142" s="249"/>
      <c r="R142" s="249"/>
    </row>
    <row r="143" spans="15:18" ht="16" x14ac:dyDescent="0.2">
      <c r="O143" s="249"/>
      <c r="P143" s="249"/>
      <c r="Q143" s="249"/>
      <c r="R143" s="249"/>
    </row>
    <row r="144" spans="15:18" ht="16" x14ac:dyDescent="0.2">
      <c r="O144" s="249"/>
      <c r="P144" s="249"/>
      <c r="Q144" s="249"/>
      <c r="R144" s="249"/>
    </row>
    <row r="145" spans="15:18" ht="16" x14ac:dyDescent="0.2">
      <c r="O145" s="249"/>
      <c r="P145" s="249"/>
      <c r="Q145" s="249"/>
      <c r="R145" s="249"/>
    </row>
    <row r="146" spans="15:18" ht="16" x14ac:dyDescent="0.2">
      <c r="O146" s="249"/>
      <c r="P146" s="249"/>
      <c r="Q146" s="249"/>
      <c r="R146" s="249"/>
    </row>
    <row r="147" spans="15:18" ht="16" x14ac:dyDescent="0.2">
      <c r="O147" s="249"/>
      <c r="P147" s="249"/>
      <c r="Q147" s="249"/>
      <c r="R147" s="249"/>
    </row>
    <row r="148" spans="15:18" ht="16" x14ac:dyDescent="0.2">
      <c r="O148" s="249"/>
      <c r="P148" s="249"/>
      <c r="Q148" s="249"/>
      <c r="R148" s="249"/>
    </row>
    <row r="149" spans="15:18" ht="16" x14ac:dyDescent="0.2">
      <c r="O149" s="249"/>
      <c r="P149" s="249"/>
      <c r="Q149" s="249"/>
      <c r="R149" s="249"/>
    </row>
    <row r="150" spans="15:18" ht="16" x14ac:dyDescent="0.2">
      <c r="O150" s="249"/>
      <c r="P150" s="249"/>
      <c r="Q150" s="249"/>
      <c r="R150" s="249"/>
    </row>
    <row r="151" spans="15:18" ht="16" x14ac:dyDescent="0.2">
      <c r="O151" s="249"/>
      <c r="P151" s="249"/>
      <c r="Q151" s="249"/>
      <c r="R151" s="249"/>
    </row>
    <row r="152" spans="15:18" ht="16" x14ac:dyDescent="0.2">
      <c r="O152" s="249"/>
      <c r="P152" s="249"/>
      <c r="Q152" s="249"/>
      <c r="R152" s="249"/>
    </row>
    <row r="153" spans="15:18" ht="16" x14ac:dyDescent="0.2">
      <c r="O153" s="249"/>
      <c r="P153" s="249"/>
      <c r="Q153" s="249"/>
      <c r="R153" s="249"/>
    </row>
    <row r="154" spans="15:18" ht="16" x14ac:dyDescent="0.2">
      <c r="O154" s="249"/>
      <c r="P154" s="249"/>
      <c r="Q154" s="249"/>
      <c r="R154" s="249"/>
    </row>
    <row r="155" spans="15:18" ht="16" x14ac:dyDescent="0.2">
      <c r="O155" s="249"/>
      <c r="P155" s="249"/>
      <c r="Q155" s="249"/>
      <c r="R155" s="249"/>
    </row>
    <row r="156" spans="15:18" ht="16" x14ac:dyDescent="0.2">
      <c r="O156" s="249"/>
      <c r="P156" s="249"/>
      <c r="Q156" s="249"/>
      <c r="R156" s="249"/>
    </row>
    <row r="157" spans="15:18" ht="16" x14ac:dyDescent="0.2">
      <c r="O157" s="249"/>
      <c r="P157" s="249"/>
      <c r="Q157" s="249"/>
      <c r="R157" s="249"/>
    </row>
    <row r="158" spans="15:18" ht="16" x14ac:dyDescent="0.2">
      <c r="O158" s="249"/>
      <c r="P158" s="249"/>
      <c r="Q158" s="249"/>
      <c r="R158" s="249"/>
    </row>
    <row r="159" spans="15:18" ht="16" x14ac:dyDescent="0.2">
      <c r="O159" s="249"/>
      <c r="P159" s="249"/>
      <c r="Q159" s="249"/>
      <c r="R159" s="249"/>
    </row>
    <row r="160" spans="15:18" ht="16" x14ac:dyDescent="0.2">
      <c r="O160" s="249"/>
      <c r="P160" s="249"/>
      <c r="Q160" s="249"/>
      <c r="R160" s="249"/>
    </row>
    <row r="161" spans="15:15" ht="16" x14ac:dyDescent="0.2">
      <c r="O161" s="249"/>
    </row>
  </sheetData>
  <mergeCells count="18">
    <mergeCell ref="C8:F8"/>
    <mergeCell ref="G8:J8"/>
    <mergeCell ref="K8:N8"/>
    <mergeCell ref="D49:E49"/>
    <mergeCell ref="F49:G49"/>
    <mergeCell ref="H49:I49"/>
    <mergeCell ref="G85:H85"/>
    <mergeCell ref="C55:C56"/>
    <mergeCell ref="D56:E56"/>
    <mergeCell ref="F56:G56"/>
    <mergeCell ref="H56:I56"/>
    <mergeCell ref="B74:C74"/>
    <mergeCell ref="B75:B76"/>
    <mergeCell ref="B77:B78"/>
    <mergeCell ref="B79:B80"/>
    <mergeCell ref="B84:B85"/>
    <mergeCell ref="C85:D85"/>
    <mergeCell ref="E85:F85"/>
  </mergeCells>
  <pageMargins left="0.7" right="0.7" top="0.75" bottom="0.75" header="0.3" footer="0.3"/>
  <drawing r:id="rId1"/>
</worksheet>
</file>

<file path=docMetadata/LabelInfo.xml><?xml version="1.0" encoding="utf-8"?>
<clbl:labelList xmlns:clbl="http://schemas.microsoft.com/office/2020/mipLabelMetadata">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ALL</vt:lpstr>
      <vt:lpstr>Design Practice</vt:lpstr>
      <vt:lpstr>DP_Structure &amp; Legend</vt:lpstr>
      <vt:lpstr>Sheet1</vt:lpstr>
      <vt:lpstr>Thematic analysis</vt:lpstr>
      <vt:lpstr>TA_Legend</vt:lpstr>
      <vt:lpstr>AI 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Boyeun Lee</cp:lastModifiedBy>
  <dcterms:created xsi:type="dcterms:W3CDTF">2026-04-09T13:52:44Z</dcterms:created>
  <dcterms:modified xsi:type="dcterms:W3CDTF">2026-06-25T17:45:27Z</dcterms:modified>
</cp:coreProperties>
</file>